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BRD" sheetId="2" state="visible" r:id="rId4"/>
    <sheet name="Framework" sheetId="3" state="visible" r:id="rId5"/>
    <sheet name="Sprint 1 Harian" sheetId="4" state="visible" r:id="rId6"/>
    <sheet name="Checklist Kode" sheetId="5" state="visible" r:id="rId7"/>
    <sheet name="Gate Outcome" sheetId="6" state="visible" r:id="rId8"/>
    <sheet name="Log Harian" sheetId="7" state="visible" r:id="rId9"/>
    <sheet name="Keputusan" sheetId="8" state="visible" r:id="rId10"/>
    <sheet name="Risiko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<sst xmlns="http://schemas.openxmlformats.org/spreadsheetml/2006/main" count="737" uniqueCount="512">
  <si>
    <t xml:space="preserve">Monitoring Proyek Bot Trading</t>
  </si>
  <si>
    <t xml:space="preserve">Semua angka terhitung otomatis dari sheet lain. Tidak perlu diisi manual.</t>
  </si>
  <si>
    <t xml:space="preserve">Indikator</t>
  </si>
  <si>
    <t xml:space="preserve">Nilai</t>
  </si>
  <si>
    <t xml:space="preserve">Dari total</t>
  </si>
  <si>
    <t xml:space="preserve">Keterangan</t>
  </si>
  <si>
    <t xml:space="preserve">PROGRES PENGERJAAN</t>
  </si>
  <si>
    <t xml:space="preserve">Tugas Sprint 1 selesai</t>
  </si>
  <si>
    <t xml:space="preserve">Rincian di sheet Sprint 1 Harian</t>
  </si>
  <si>
    <t xml:space="preserve">Persentase tugas Sprint 1</t>
  </si>
  <si>
    <t xml:space="preserve">Target 100% di akhir Hari 7</t>
  </si>
  <si>
    <t xml:space="preserve">File kode selesai</t>
  </si>
  <si>
    <t xml:space="preserve">39 file total, 29 di antaranya Sprint 1</t>
  </si>
  <si>
    <t xml:space="preserve">Persentase file kode</t>
  </si>
  <si>
    <t xml:space="preserve">Estimasi jam Sprint 1</t>
  </si>
  <si>
    <t xml:space="preserve">Total estimasi seluruh tugas minggu 1</t>
  </si>
  <si>
    <t xml:space="preserve">STATUS GATE</t>
  </si>
  <si>
    <t xml:space="preserve">Gate lulus</t>
  </si>
  <si>
    <t xml:space="preserve">Gate gagal berarti mengulang, bukan melanjutkan</t>
  </si>
  <si>
    <t xml:space="preserve">Gate gagal</t>
  </si>
  <si>
    <t xml:space="preserve">Perlu tindakan sebelum lanjut</t>
  </si>
  <si>
    <t xml:space="preserve">Gate belum dicek</t>
  </si>
  <si>
    <t xml:space="preserve">HASIL LIVE</t>
  </si>
  <si>
    <t xml:space="preserve">Total transaksi</t>
  </si>
  <si>
    <t xml:space="preserve">Di bawah 200 belum bisa dinilai secara statistik</t>
  </si>
  <si>
    <t xml:space="preserve">Win rate</t>
  </si>
  <si>
    <t xml:space="preserve">52-55% sudah termasuk bagus</t>
  </si>
  <si>
    <t xml:space="preserve">P&amp;L kumulatif (Rp)</t>
  </si>
  <si>
    <t xml:space="preserve">BUKAN indikator keberhasilan di bulan pertama</t>
  </si>
  <si>
    <t xml:space="preserve">Rata-rata slippage aktual (bps)</t>
  </si>
  <si>
    <t xml:space="preserve">Dibandingkan asumsi model di cost_model.py</t>
  </si>
  <si>
    <t xml:space="preserve">RISIKO</t>
  </si>
  <si>
    <t xml:space="preserve">Risiko skor 12 ke atas</t>
  </si>
  <si>
    <t xml:space="preserve">Wajib punya mitigasi aktif</t>
  </si>
  <si>
    <t xml:space="preserve">Risiko berstatus Terbuka</t>
  </si>
  <si>
    <t xml:space="preserve">Belum ada mitigasi yang berjalan</t>
  </si>
  <si>
    <t xml:space="preserve">CARA PAKAI</t>
  </si>
  <si>
    <t xml:space="preserve">Sel berlatar kuning adalah sel yang diisi manual. Sisanya terhitung otomatis.</t>
  </si>
  <si>
    <t xml:space="preserve">Urutan pemakaian: BRD dibaca dan disetujui, lalu Framework untuk melihat arah 12 minggu,</t>
  </si>
  <si>
    <t xml:space="preserve">lalu Sprint 1 Harian sebagai checklist harian, Checklist Kode untuk melacak file,</t>
  </si>
  <si>
    <t xml:space="preserve">Gate Outcome untuk menilai apakah boleh lanjut, dan Log Harian setelah bot live.</t>
  </si>
  <si>
    <t xml:space="preserve">Keputusan dan Risiko diisi sepanjang proyek berjalan.</t>
  </si>
  <si>
    <t xml:space="preserve">Gate gagal berarti mengulang tahap itu. Menurunkan target agar terlihat lulus</t>
  </si>
  <si>
    <t xml:space="preserve">menghapus seluruh gunanya dokumen ini.</t>
  </si>
  <si>
    <t xml:space="preserve">Business Requirement Document</t>
  </si>
  <si>
    <t xml:space="preserve">Bot trading otomatis skala menit - disetujui sebelum Sprint 1 dimulai</t>
  </si>
  <si>
    <t xml:space="preserve">Bagian</t>
  </si>
  <si>
    <t xml:space="preserve">Isi</t>
  </si>
  <si>
    <t xml:space="preserve">Catatan / Verifikasi</t>
  </si>
  <si>
    <t xml:space="preserve">1. LATAR BELAKANG</t>
  </si>
  <si>
    <t xml:space="preserve">Masalah</t>
  </si>
  <si>
    <t xml:space="preserve">Trading manual skala menit tidak bisa dilakukan konsisten oleh manusia: keputusan harus diambil tiap 60 detik, dan disiplin menurun saat rugi beruntun.</t>
  </si>
  <si>
    <t xml:space="preserve">Peluang</t>
  </si>
  <si>
    <t xml:space="preserve">Program bisa mengeksekusi aturan yang sama tanpa lelah dan tanpa emosi, serta mencatat setiap keputusan untuk dievaluasi.</t>
  </si>
  <si>
    <t xml:space="preserve">Kondisi pemilik proyek</t>
  </si>
  <si>
    <t xml:space="preserve">Junior developer, menguasai Python, memahami dasar orderbook, belum menguasai finance.</t>
  </si>
  <si>
    <t xml:space="preserve">Panduan istilah tersedia di dokumen terpisah</t>
  </si>
  <si>
    <t xml:space="preserve">2. TUJUAN</t>
  </si>
  <si>
    <t xml:space="preserve">Tujuan utama</t>
  </si>
  <si>
    <t xml:space="preserve">Mendapat jawaban terukur: apakah satu pola trading benar-benar menguntungkan setelah seluruh biaya, atau hasil bagusnya kebetulan.</t>
  </si>
  <si>
    <t xml:space="preserve">Bukan 'menghasilkan uang' - itu akibat, bukan tujuan</t>
  </si>
  <si>
    <t xml:space="preserve">Tujuan sekunder</t>
  </si>
  <si>
    <t xml:space="preserve">Membangun infrastruktur yang bisa dipakai ulang untuk menguji pola berikutnya dalam hitungan hari, bukan minggu.</t>
  </si>
  <si>
    <t xml:space="preserve">Bukan tujuan</t>
  </si>
  <si>
    <t xml:space="preserve">Keuntungan besar dalam 3 bulan. Mengalahkan pasar. Membangun sistem yang bisa dijual.</t>
  </si>
  <si>
    <t xml:space="preserve">3. DEFINISI BERHASIL</t>
  </si>
  <si>
    <t xml:space="preserve">Hari 7</t>
  </si>
  <si>
    <t xml:space="preserve">Angka expectancy setelah biaya nyata diketahui, beserta t-statistic-nya. Infrastruktur siap menguji pola berikutnya.</t>
  </si>
  <si>
    <t xml:space="preserve">Diukur di sheet Gate Outcome</t>
  </si>
  <si>
    <t xml:space="preserve">Bulan 3</t>
  </si>
  <si>
    <t xml:space="preserve">Sistem berjalan tanpa diawasi terus-menerus. Sharpe bersih di atas 1,0 pada data live minimal 6 minggu. Ada kondisi tertulis kapan bot harus dimatikan.</t>
  </si>
  <si>
    <t xml:space="preserve">Berhasil yang sering disalahpahami</t>
  </si>
  <si>
    <t xml:space="preserve">Temuan 'tidak ada edge' dalam 2 minggu DIHITUNG BERHASIL. Menghemat 10 minggu kerja dan infrastruktur tetap terpakai.</t>
  </si>
  <si>
    <t xml:space="preserve">4. RUANG LINGKUP</t>
  </si>
  <si>
    <t xml:space="preserve">Termasuk</t>
  </si>
  <si>
    <t xml:space="preserve">Satu instrumen. Satu pola rule-based. Backtest dengan model biaya penuh. Eksekusi otomatis. Lapisan risiko dan kill switch. Live dengan modal mikro. Penyaring ML di Sprint 5.</t>
  </si>
  <si>
    <t xml:space="preserve">Tidak termasuk</t>
  </si>
  <si>
    <t xml:space="preserve">Multi-instrumen sebelum Sprint 6. Deep learning. High frequency trading. Analisis sentimen berita. Manajemen dana orang lain. Antarmuka pengguna.</t>
  </si>
  <si>
    <t xml:space="preserve">Pasar</t>
  </si>
  <si>
    <t xml:space="preserve">Kontrak berjangka kripto (perpetual futures) di bursa luar negeri.</t>
  </si>
  <si>
    <t xml:space="preserve">Alasan di sheet Keputusan</t>
  </si>
  <si>
    <t xml:space="preserve">Timeframe</t>
  </si>
  <si>
    <t xml:space="preserve">Bar 1 menit.</t>
  </si>
  <si>
    <t xml:space="preserve">5. ASUMSI</t>
  </si>
  <si>
    <t xml:space="preserve">A1</t>
  </si>
  <si>
    <t xml:space="preserve">Ongkos bolak-balik di perp kripto sekitar 11 bps (taker) atau 4 bps (maker).</t>
  </si>
  <si>
    <t xml:space="preserve">WAJIB diverifikasi Hari 1 dengan tarif akun sendiri</t>
  </si>
  <si>
    <t xml:space="preserve">A2</t>
  </si>
  <si>
    <t xml:space="preserve">Pergerakan harga tipikal per menit cukup besar dibanding ongkos (rasio di atas 2x).</t>
  </si>
  <si>
    <t xml:space="preserve">WAJIB diverifikasi Hari 1 - kalau gagal, proyek berhenti</t>
  </si>
  <si>
    <t xml:space="preserve">A3</t>
  </si>
  <si>
    <t xml:space="preserve">Data historis 1 menit tersedia gratis lewat ccxt untuk minimal 18 bulan.</t>
  </si>
  <si>
    <t xml:space="preserve">Diverifikasi Hari 1</t>
  </si>
  <si>
    <t xml:space="preserve">A4</t>
  </si>
  <si>
    <t xml:space="preserve">Slippage sekitar 2 bps per sisi.</t>
  </si>
  <si>
    <t xml:space="preserve">TEBAKAN. Diganti angka nyata di Hari 7</t>
  </si>
  <si>
    <t xml:space="preserve">6. BATASAN</t>
  </si>
  <si>
    <t xml:space="preserve">Anggaran pengembangan</t>
  </si>
  <si>
    <t xml:space="preserve">Rp 1.000.000. Terpakai untuk VPS sekitar Rp 300.000 per 3 bulan; sisanya cadangan.</t>
  </si>
  <si>
    <t xml:space="preserve">Modal trading</t>
  </si>
  <si>
    <t xml:space="preserve">Rp 2.000.000 - 5.000.000. Terpisah dari anggaran pengembangan. Diperlakukan sebagai uang yang sudah hilang.</t>
  </si>
  <si>
    <t xml:space="preserve">Isi angka pastinya sebelum Hari 6</t>
  </si>
  <si>
    <t xml:space="preserve">Waktu</t>
  </si>
  <si>
    <t xml:space="preserve">12 minggu. Sprint 1 dipadatkan jadi 7 hari sampai live.</t>
  </si>
  <si>
    <t xml:space="preserve">Sumber daya</t>
  </si>
  <si>
    <t xml:space="preserve">Satu orang, paruh waktu.</t>
  </si>
  <si>
    <t xml:space="preserve">Regulasi</t>
  </si>
  <si>
    <t xml:space="preserve">Perlakuan pajak derivatif kripto lintas negara belum jelas.</t>
  </si>
  <si>
    <t xml:space="preserve">Konsultasikan sebelum menaikkan modal</t>
  </si>
  <si>
    <t xml:space="preserve">7. ATURAN YANG MENGIKAT</t>
  </si>
  <si>
    <t xml:space="preserve">N1</t>
  </si>
  <si>
    <t xml:space="preserve">Tidak ada uang sungguhan sebelum pengaman Hari 4 terbukti bekerja.</t>
  </si>
  <si>
    <t xml:space="preserve">N2</t>
  </si>
  <si>
    <t xml:space="preserve">Tidak ada machine learning sebelum pola rule-based lolos gate.</t>
  </si>
  <si>
    <t xml:space="preserve">N3</t>
  </si>
  <si>
    <t xml:space="preserve">Maksimal tiga parameter per strategi.</t>
  </si>
  <si>
    <t xml:space="preserve">N4</t>
  </si>
  <si>
    <t xml:space="preserve">Modal tidak dinaikkan berdasarkan hasil minggu pertama, positif maupun negatif.</t>
  </si>
  <si>
    <t xml:space="preserve">N5</t>
  </si>
  <si>
    <t xml:space="preserve">Syarat lulus tidak diturunkan agar bisa lanjut.</t>
  </si>
  <si>
    <t xml:space="preserve">N6</t>
  </si>
  <si>
    <t xml:space="preserve">Tidak ada intervensi manual saat bot berjalan.</t>
  </si>
  <si>
    <t xml:space="preserve">Disetujui tanggal:</t>
  </si>
  <si>
    <t xml:space="preserve">Framework 12 Minggu</t>
  </si>
  <si>
    <t xml:space="preserve">Sprint tidak boleh dimulai sebelum sprint sebelumnya lulus gate</t>
  </si>
  <si>
    <t xml:space="preserve">Sprint</t>
  </si>
  <si>
    <t xml:space="preserve">Minggu</t>
  </si>
  <si>
    <t xml:space="preserve">Tujuan</t>
  </si>
  <si>
    <t xml:space="preserve">Deliverable utama</t>
  </si>
  <si>
    <t xml:space="preserve">Gate (syarat lulus)</t>
  </si>
  <si>
    <t xml:space="preserve">Target selesai</t>
  </si>
  <si>
    <t xml:space="preserve">Status</t>
  </si>
  <si>
    <t xml:space="preserve">Catatan</t>
  </si>
  <si>
    <t xml:space="preserve">Minggu 1</t>
  </si>
  <si>
    <t xml:space="preserve">Satu pola diuji jujur, eksekusi dan pengaman jalan, uang sungguhan masuk dalam jumlah mikro.</t>
  </si>
  <si>
    <t xml:space="preserve">29 file kode inti + bot live</t>
  </si>
  <si>
    <t xml:space="preserve">Expectancy positif setelah biaya di data out-of-sample, t-stat &gt; 2, bot live tanpa insiden</t>
  </si>
  <si>
    <t xml:space="preserve">Belum</t>
  </si>
  <si>
    <t xml:space="preserve">Minggu 2-3</t>
  </si>
  <si>
    <t xml:space="preserve">Menutup jarak antara hasil simulasi dan hasil nyata. Memperbaiki eksekusi, bukan strategi.</t>
  </si>
  <si>
    <t xml:space="preserve">repricer.py, slippage_report.py</t>
  </si>
  <si>
    <t xml:space="preserve">Selisih P&amp;L nyata vs simulasi di bawah 30%, gate Sprint 1 masih lolos dengan biaya terkoreksi</t>
  </si>
  <si>
    <t xml:space="preserve">Minggu 4-5</t>
  </si>
  <si>
    <t xml:space="preserve">Bot sanggup berjalan semalaman tanpa diawasi.</t>
  </si>
  <si>
    <t xml:space="preserve">watchdog.py, anomaly.py, prosedur pemulihan</t>
  </si>
  <si>
    <t xml:space="preserve">4 minggu berjalan tanpa perbaikan darurat, nol desync posisi</t>
  </si>
  <si>
    <t xml:space="preserve">Minggu 6-7</t>
  </si>
  <si>
    <t xml:space="preserve">Mengevaluasi seluruh transaksi nyata. Menentukan apakah modal boleh naik.</t>
  </si>
  <si>
    <t xml:space="preserve">live_review.py, aturan penskalaan tertulis</t>
  </si>
  <si>
    <t xml:space="preserve">Expectancy nyata positif dengan selang kepercayaan tidak melewati nol</t>
  </si>
  <si>
    <t xml:space="preserve">Minggu 8-9</t>
  </si>
  <si>
    <t xml:space="preserve">Machine learning sebagai penyaring sinyal yang sudah terbukti.</t>
  </si>
  <si>
    <t xml:space="preserve">features.py, purged_cv.py, train.py, filter.py</t>
  </si>
  <si>
    <t xml:space="preserve">Penyaring menaikkan expectancy out-of-sample secara material, atau dibuang</t>
  </si>
  <si>
    <t xml:space="preserve">Minggu 10-12</t>
  </si>
  <si>
    <t xml:space="preserve">Pola kedua yang tidak berkorelasi, dashboard, prosedur berhenti.</t>
  </si>
  <si>
    <t xml:space="preserve">strategi kedua, dashboard.py, shutdown.md</t>
  </si>
  <si>
    <t xml:space="preserve">Sharpe bersih di atas 1,0 pada data live gabungan minimal 6 minggu</t>
  </si>
  <si>
    <t xml:space="preserve">Sprint 1 - Rincian Harian</t>
  </si>
  <si>
    <t xml:space="preserve">Centang tiap tugas. Gate di akhir tiap hari menentukan boleh lanjut atau mengulang.</t>
  </si>
  <si>
    <t xml:space="preserve">Hari</t>
  </si>
  <si>
    <t xml:space="preserve">Fokus</t>
  </si>
  <si>
    <t xml:space="preserve">Tugas</t>
  </si>
  <si>
    <t xml:space="preserve">File terkait</t>
  </si>
  <si>
    <t xml:space="preserve">Jam</t>
  </si>
  <si>
    <t xml:space="preserve">Bukti selesai</t>
  </si>
  <si>
    <t xml:space="preserve">Ongkos dan data</t>
  </si>
  <si>
    <t xml:space="preserve">Siapkan virtual environment dan pasang dependensi</t>
  </si>
  <si>
    <t xml:space="preserve">requirements.txt</t>
  </si>
  <si>
    <t xml:space="preserve">Perintah pip selesai tanpa error</t>
  </si>
  <si>
    <t xml:space="preserve">Jalankan scaffold.py untuk membuat seluruh struktur folder</t>
  </si>
  <si>
    <t xml:space="preserve">scaffold.py</t>
  </si>
  <si>
    <t xml:space="preserve">42 file stub terbentuk</t>
  </si>
  <si>
    <t xml:space="preserve">Tulis model biaya: fee maker/taker, spread, slippage, funding</t>
  </si>
  <si>
    <t xml:space="preserve">src/core/cost_model.py</t>
  </si>
  <si>
    <t xml:space="preserve">python -m src.core.cost_model menampilkan rincian</t>
  </si>
  <si>
    <t xml:space="preserve">Tarik spesifikasi instrumen dari bursa (tick size, notional minimum)</t>
  </si>
  <si>
    <t xml:space="preserve">src/core/instruments.py</t>
  </si>
  <si>
    <t xml:space="preserve">Spesifikasi tersimpan, tidak ditulis manual</t>
  </si>
  <si>
    <t xml:space="preserve">Unduh 18 bulan bar 1 menit untuk 2-3 kandidat instrumen</t>
  </si>
  <si>
    <t xml:space="preserve">src/data/fetch_history.py</t>
  </si>
  <si>
    <t xml:space="preserve">File Parquet ada, celah data di bawah 1%</t>
  </si>
  <si>
    <t xml:space="preserve">Hitung rasio pergerakan harga terhadap ongkos</t>
  </si>
  <si>
    <t xml:space="preserve">scripts/analyze_costs.py</t>
  </si>
  <si>
    <t xml:space="preserve">Tabel rasio tercetak</t>
  </si>
  <si>
    <t xml:space="preserve">GATE: pilih instrumen dan catat alasannya</t>
  </si>
  <si>
    <t xml:space="preserve">lessons.md</t>
  </si>
  <si>
    <t xml:space="preserve">Rasio di atas 2x, alasan tertulis</t>
  </si>
  <si>
    <t xml:space="preserve">Strategi dan uji</t>
  </si>
  <si>
    <t xml:space="preserve">Tulis kontrak dasar strategi</t>
  </si>
  <si>
    <t xml:space="preserve">src/strategy/base.py</t>
  </si>
  <si>
    <t xml:space="preserve">Kelas abstrak, satu metode</t>
  </si>
  <si>
    <t xml:space="preserve">Tulis strategi VWAP reversion, maksimal 3 parameter</t>
  </si>
  <si>
    <t xml:space="preserve">src/strategy/vwap_reversion.py</t>
  </si>
  <si>
    <t xml:space="preserve">Masuk bar, keluar sinyal, tidak menyentuh order</t>
  </si>
  <si>
    <t xml:space="preserve">Bangun mesin simulasi bar per bar yang memanggil cost_model</t>
  </si>
  <si>
    <t xml:space="preserve">src/backtest/engine.py</t>
  </si>
  <si>
    <t xml:space="preserve">Simulasi jalan, biaya terhitung tiap transaksi</t>
  </si>
  <si>
    <t xml:space="preserve">Hitung metrik: expectancy, t-stat, drawdown, Sharpe</t>
  </si>
  <si>
    <t xml:space="preserve">src/backtest/metrics.py</t>
  </si>
  <si>
    <t xml:space="preserve">Metrik keluar untuk satu run</t>
  </si>
  <si>
    <t xml:space="preserve">Bagi data latih dan uji, jalankan uji sensitivitas parameter</t>
  </si>
  <si>
    <t xml:space="preserve">src/backtest/validate.py</t>
  </si>
  <si>
    <t xml:space="preserve">Parameter dikunci di data lama</t>
  </si>
  <si>
    <t xml:space="preserve">GATE: 200+ trade out-of-sample, t-stat &gt; 2, drawdown &lt; 15%</t>
  </si>
  <si>
    <t xml:space="preserve">scripts/run_backtest.py</t>
  </si>
  <si>
    <t xml:space="preserve">Laporan lulus/gagal per kriteria</t>
  </si>
  <si>
    <t xml:space="preserve">Eksekusi testnet</t>
  </si>
  <si>
    <t xml:space="preserve">Bungkus API bursa di satu file</t>
  </si>
  <si>
    <t xml:space="preserve">src/execution/broker.py</t>
  </si>
  <si>
    <t xml:space="preserve">Hanya file ini yang menyentuh jaringan bursa</t>
  </si>
  <si>
    <t xml:space="preserve">Kirim limit order dengan client order ID idempoten</t>
  </si>
  <si>
    <t xml:space="preserve">src/execution/order_manager.py</t>
  </si>
  <si>
    <t xml:space="preserve">Order terkirim di testnet</t>
  </si>
  <si>
    <t xml:space="preserve">Tangani partial fill, penolakan, dan pembatalan setelah timeout</t>
  </si>
  <si>
    <t xml:space="preserve">Ketiga kasus tertangani</t>
  </si>
  <si>
    <t xml:space="preserve">Sambungkan aliran bar langsung dengan reconnect otomatis</t>
  </si>
  <si>
    <t xml:space="preserve">src/data/stream.py</t>
  </si>
  <si>
    <t xml:space="preserve">Bar masuk tiap menit, reconnect jalan</t>
  </si>
  <si>
    <t xml:space="preserve">Catat slippage tiap fill</t>
  </si>
  <si>
    <t xml:space="preserve">src/execution/slippage_tracker.py</t>
  </si>
  <si>
    <t xml:space="preserve">Selisih harga sinyal vs fill tercatat</t>
  </si>
  <si>
    <t xml:space="preserve">GATE: putus jaringan sengaja, pastikan tidak ada order ganda</t>
  </si>
  <si>
    <t xml:space="preserve">tests/test_order_manager.py</t>
  </si>
  <si>
    <t xml:space="preserve">Uji lolos, log bersih</t>
  </si>
  <si>
    <t xml:space="preserve">Risiko dan pengaman</t>
  </si>
  <si>
    <t xml:space="preserve">Batas rugi harian dan batas posisi tertanam di kode</t>
  </si>
  <si>
    <t xml:space="preserve">src/risk/limits.py</t>
  </si>
  <si>
    <t xml:space="preserve">Sinyal ditolak saat batas tersentuh</t>
  </si>
  <si>
    <t xml:space="preserve">Ukuran posisi berbasis volatilitas, dibulatkan ke kelipatan bursa</t>
  </si>
  <si>
    <t xml:space="preserve">src/risk/sizing.py</t>
  </si>
  <si>
    <t xml:space="preserve">Ukuran valid, di atas notional minimum</t>
  </si>
  <si>
    <t xml:space="preserve">Pencocokan posisi bot vs bursa tiap 30 detik</t>
  </si>
  <si>
    <t xml:space="preserve">src/execution/reconciler.py</t>
  </si>
  <si>
    <t xml:space="preserve">Selisih terdeteksi dan memicu berhenti</t>
  </si>
  <si>
    <t xml:space="preserve">Notifikasi Telegram untuk fill, error, batas tersentuh</t>
  </si>
  <si>
    <t xml:space="preserve">src/ops/notifier.py</t>
  </si>
  <si>
    <t xml:space="preserve">Pesan masuk ke ponsel</t>
  </si>
  <si>
    <t xml:space="preserve">Kill switch yang bisa ditekan dari Telegram</t>
  </si>
  <si>
    <t xml:space="preserve">src/ops/killswitch.py</t>
  </si>
  <si>
    <t xml:space="preserve">Posisi benar-benar tertutup saat ditekan</t>
  </si>
  <si>
    <t xml:space="preserve">GATE: matikan paksa saat posisi terbuka, pastikan pulih benar</t>
  </si>
  <si>
    <t xml:space="preserve">tests/test_limits.py</t>
  </si>
  <si>
    <t xml:space="preserve">State benar setelah restart</t>
  </si>
  <si>
    <t xml:space="preserve">Pengemasan</t>
  </si>
  <si>
    <t xml:space="preserve">Log JSON terstruktur</t>
  </si>
  <si>
    <t xml:space="preserve">src/ops/logger.py</t>
  </si>
  <si>
    <t xml:space="preserve">Log bisa dikueri, bukan sekadar dibaca</t>
  </si>
  <si>
    <t xml:space="preserve">Jahit semua lapisan jadi satu runner testnet</t>
  </si>
  <si>
    <t xml:space="preserve">src/runner/paper.py</t>
  </si>
  <si>
    <t xml:space="preserve">Sistem lengkap jalan di testnet</t>
  </si>
  <si>
    <t xml:space="preserve">Bungkus jadi image Docker dan jalankan di VPS</t>
  </si>
  <si>
    <t xml:space="preserve">Dockerfile</t>
  </si>
  <si>
    <t xml:space="preserve">Container jalan di VPS</t>
  </si>
  <si>
    <t xml:space="preserve">Batasi jam buka posisi ke jendela yang diawasi</t>
  </si>
  <si>
    <t xml:space="preserve">config/config.yaml</t>
  </si>
  <si>
    <t xml:space="preserve">Di luar jam, posisi ditutup</t>
  </si>
  <si>
    <t xml:space="preserve">GATE: jalan satu jendela penuh tanpa disentuh, nol desync</t>
  </si>
  <si>
    <t xml:space="preserve">-</t>
  </si>
  <si>
    <t xml:space="preserve">Log bersih sepanjang jendela</t>
  </si>
  <si>
    <t xml:space="preserve">Live modal mikro</t>
  </si>
  <si>
    <t xml:space="preserve">Buat sub-akun terpisah, isi modal yang siap hilang</t>
  </si>
  <si>
    <t xml:space="preserve">Saldo sesuai rencana</t>
  </si>
  <si>
    <t xml:space="preserve">API key: izin trading saja, tanpa penarikan, dengan IP whitelist</t>
  </si>
  <si>
    <t xml:space="preserve">config/secrets.env</t>
  </si>
  <si>
    <t xml:space="preserve">Izin terverifikasi di panel bursa</t>
  </si>
  <si>
    <t xml:space="preserve">Set leverage 1x dan isolated margin</t>
  </si>
  <si>
    <t xml:space="preserve">Terkonfirmasi di bursa</t>
  </si>
  <si>
    <t xml:space="preserve">Jalankan runner live, risiko 0,1% per transaksi</t>
  </si>
  <si>
    <t xml:space="preserve">src/runner/live.py</t>
  </si>
  <si>
    <t xml:space="preserve">Transaksi pertama tercatat</t>
  </si>
  <si>
    <t xml:space="preserve">Laporan harian otomatis ke Telegram</t>
  </si>
  <si>
    <t xml:space="preserve">scripts/daily_report.py</t>
  </si>
  <si>
    <t xml:space="preserve">Laporan terkirim</t>
  </si>
  <si>
    <t xml:space="preserve">ATURAN: tanpa intervensi manual, tanpa ubah parameter</t>
  </si>
  <si>
    <t xml:space="preserve">Tidak ada perubahan di git log hari ini</t>
  </si>
  <si>
    <t xml:space="preserve">Koreksi dan putusan</t>
  </si>
  <si>
    <t xml:space="preserve">Hitung slippage rata-rata dan sebarannya dari log fill</t>
  </si>
  <si>
    <t xml:space="preserve">Angka bps keluar</t>
  </si>
  <si>
    <t xml:space="preserve">Ganti asumsi slippage di cost_model dengan angka nyata</t>
  </si>
  <si>
    <t xml:space="preserve">slippage_is_measured = True</t>
  </si>
  <si>
    <t xml:space="preserve">Jalankan ulang simulasi 18 bulan dengan biaya terkoreksi</t>
  </si>
  <si>
    <t xml:space="preserve">Hasil baru tercatat</t>
  </si>
  <si>
    <t xml:space="preserve">PUTUSAN: lanjut Sprint 2, ganti strategi, atau perbaiki eksekusi</t>
  </si>
  <si>
    <t xml:space="preserve">Keputusan tertulis dengan alasannya</t>
  </si>
  <si>
    <t xml:space="preserve">Total estimasi jam</t>
  </si>
  <si>
    <t xml:space="preserve">Tugas selesai</t>
  </si>
  <si>
    <t xml:space="preserve">Total tugas</t>
  </si>
  <si>
    <t xml:space="preserve">Checklist File Kode</t>
  </si>
  <si>
    <t xml:space="preserve">42 file. Kolom Status dan Test diisi manual seiring pengerjaan.</t>
  </si>
  <si>
    <t xml:space="preserve">File</t>
  </si>
  <si>
    <t xml:space="preserve">Lapisan</t>
  </si>
  <si>
    <t xml:space="preserve">Fungsi</t>
  </si>
  <si>
    <t xml:space="preserve">Ada test</t>
  </si>
  <si>
    <t xml:space="preserve">core</t>
  </si>
  <si>
    <t xml:space="preserve">Satu-satunya sumber kebenaran ongkos. Dipanggil backtest DAN live.</t>
  </si>
  <si>
    <t xml:space="preserve">Selesai</t>
  </si>
  <si>
    <t xml:space="preserve">Spesifikasi instrumen dari bursa: tick size, step size, notional minimum.</t>
  </si>
  <si>
    <t xml:space="preserve">src/core/types.py</t>
  </si>
  <si>
    <t xml:space="preserve">Bentuk data bersama: Bar, Signal, Order, Fill, Position.</t>
  </si>
  <si>
    <t xml:space="preserve">data</t>
  </si>
  <si>
    <t xml:space="preserve">Unduh bar 1 menit dari bursa ke Parquet.</t>
  </si>
  <si>
    <t xml:space="preserve">src/data/store.py</t>
  </si>
  <si>
    <t xml:space="preserve">Baca data historis, bagi data latih dan data uji.</t>
  </si>
  <si>
    <t xml:space="preserve">Aliran bar langsung lewat WebSocket. Keluaran identik dengan store.py.</t>
  </si>
  <si>
    <t xml:space="preserve">strategy</t>
  </si>
  <si>
    <t xml:space="preserve">Kontrak yang wajib dipenuhi tiap strategi.</t>
  </si>
  <si>
    <t xml:space="preserve">Strategi pertama. Maksimal tiga parameter.</t>
  </si>
  <si>
    <t xml:space="preserve">backtest</t>
  </si>
  <si>
    <t xml:space="preserve">Simulasi bar per bar, memanggil cost_model.</t>
  </si>
  <si>
    <t xml:space="preserve">Expectancy, t-stat, drawdown, Sharpe, win rate.</t>
  </si>
  <si>
    <t xml:space="preserve">Pembagian out-of-sample dan uji sensitivitas parameter.</t>
  </si>
  <si>
    <t xml:space="preserve">execution</t>
  </si>
  <si>
    <t xml:space="preserve">SATU-SATUNYA file yang menyentuh API bursa.</t>
  </si>
  <si>
    <t xml:space="preserve">Siklus hidup order + client order ID idempoten.</t>
  </si>
  <si>
    <t xml:space="preserve">Cocokkan posisi bot dengan posisi bursa tiap 30 detik.</t>
  </si>
  <si>
    <t xml:space="preserve">Ukur selisih harga sinyal vs harga fill.</t>
  </si>
  <si>
    <t xml:space="preserve">risk</t>
  </si>
  <si>
    <t xml:space="preserve">Batas rugi harian, batas posisi, jam operasi.</t>
  </si>
  <si>
    <t xml:space="preserve">Ukuran posisi berbasis volatilitas.</t>
  </si>
  <si>
    <t xml:space="preserve">ops</t>
  </si>
  <si>
    <t xml:space="preserve">Log JSON terstruktur.</t>
  </si>
  <si>
    <t xml:space="preserve">Notifikasi Telegram.</t>
  </si>
  <si>
    <t xml:space="preserve">Tutup semua posisi dan hentikan bot.</t>
  </si>
  <si>
    <t xml:space="preserve">runner</t>
  </si>
  <si>
    <t xml:space="preserve">Jalankan sistem lengkap di testnet.</t>
  </si>
  <si>
    <t xml:space="preserve">Versi uang sungguhan. Beda tipis dari paper.py.</t>
  </si>
  <si>
    <t xml:space="preserve">scripts</t>
  </si>
  <si>
    <t xml:space="preserve">Rasio pergerakan harga terhadap ongkos.</t>
  </si>
  <si>
    <t xml:space="preserve">Jalankan satu simulasi + cek syarat lulus.</t>
  </si>
  <si>
    <t xml:space="preserve">scripts/run_sweep.py</t>
  </si>
  <si>
    <t xml:space="preserve">Sapu banyak kombinasi parameter.</t>
  </si>
  <si>
    <t xml:space="preserve">Laporan harian ke Telegram.</t>
  </si>
  <si>
    <t xml:space="preserve">tests/test_cost_model.py</t>
  </si>
  <si>
    <t xml:space="preserve">tests</t>
  </si>
  <si>
    <t xml:space="preserve">WAJIB. Salah di sini merusak semua penilaian.</t>
  </si>
  <si>
    <t xml:space="preserve">WAJIB. Pengaman yang tidak diuji sama dengan tidak ada.</t>
  </si>
  <si>
    <t xml:space="preserve">WAJIB. Simulasi koneksi putus, pastikan tidak ada order ganda.</t>
  </si>
  <si>
    <t xml:space="preserve">src/execution/repricer.py</t>
  </si>
  <si>
    <t xml:space="preserve">Geser harga limit order yang belum terisi.</t>
  </si>
  <si>
    <t xml:space="preserve">src/analysis/slippage_report.py</t>
  </si>
  <si>
    <t xml:space="preserve">analysis</t>
  </si>
  <si>
    <t xml:space="preserve">Bandingkan slippage nyata vs asumsi model.</t>
  </si>
  <si>
    <t xml:space="preserve">src/ops/watchdog.py</t>
  </si>
  <si>
    <t xml:space="preserve">Pantau detak jantung bot, restart kalau mati.</t>
  </si>
  <si>
    <t xml:space="preserve">src/ops/anomaly.py</t>
  </si>
  <si>
    <t xml:space="preserve">Deteksi perilaku tidak wajar sebelum jadi kerugian.</t>
  </si>
  <si>
    <t xml:space="preserve">src/analysis/live_review.py</t>
  </si>
  <si>
    <t xml:space="preserve">Evaluasi seluruh transaksi nyata.</t>
  </si>
  <si>
    <t xml:space="preserve">src/ml/features.py</t>
  </si>
  <si>
    <t xml:space="preserve">ml</t>
  </si>
  <si>
    <t xml:space="preserve">Order book imbalance, volume profile, regime volatilitas.</t>
  </si>
  <si>
    <t xml:space="preserve">src/ml/purged_cv.py</t>
  </si>
  <si>
    <t xml:space="preserve">Cross-validation yang mencegah kebocoran lintas waktu.</t>
  </si>
  <si>
    <t xml:space="preserve">src/ml/train.py</t>
  </si>
  <si>
    <t xml:space="preserve">Latih LightGBM sebagai PENYARING, bukan penghasil sinyal.</t>
  </si>
  <si>
    <t xml:space="preserve">src/ml/filter.py</t>
  </si>
  <si>
    <t xml:space="preserve">Terapkan penyaring ke sinyal baseline saat live.</t>
  </si>
  <si>
    <t xml:space="preserve">src/analysis/dashboard.py</t>
  </si>
  <si>
    <t xml:space="preserve">Dashboard HTML: equity curve, slippage, drawdown.</t>
  </si>
  <si>
    <t xml:space="preserve">File selesai</t>
  </si>
  <si>
    <t xml:space="preserve">Total file</t>
  </si>
  <si>
    <t xml:space="preserve">Progres</t>
  </si>
  <si>
    <t xml:space="preserve">Gate dan Outcome</t>
  </si>
  <si>
    <t xml:space="preserve">Isi kolom Aktual. Kolom Lulus terhitung otomatis. Gate gagal berarti mengulang, bukan melanjutkan.</t>
  </si>
  <si>
    <t xml:space="preserve">ID</t>
  </si>
  <si>
    <t xml:space="preserve">Kriteria</t>
  </si>
  <si>
    <t xml:space="preserve">Target</t>
  </si>
  <si>
    <t xml:space="preserve">Arah</t>
  </si>
  <si>
    <t xml:space="preserve">Aktual</t>
  </si>
  <si>
    <t xml:space="preserve">Lulus</t>
  </si>
  <si>
    <t xml:space="preserve">Tgl dicek</t>
  </si>
  <si>
    <t xml:space="preserve">G1</t>
  </si>
  <si>
    <t xml:space="preserve">Rasio pergerakan harga terhadap ongkos (persentil 75)</t>
  </si>
  <si>
    <t xml:space="preserve">&gt;=</t>
  </si>
  <si>
    <t xml:space="preserve">Hari 1</t>
  </si>
  <si>
    <t xml:space="preserve">G2</t>
  </si>
  <si>
    <t xml:space="preserve">Jumlah transaksi di data out-of-sample</t>
  </si>
  <si>
    <t xml:space="preserve">Hari 2</t>
  </si>
  <si>
    <t xml:space="preserve">G3</t>
  </si>
  <si>
    <t xml:space="preserve">Expectancy per transaksi setelah biaya (bps)</t>
  </si>
  <si>
    <t xml:space="preserve">&gt;</t>
  </si>
  <si>
    <t xml:space="preserve">G4</t>
  </si>
  <si>
    <t xml:space="preserve">t-statistic expectancy</t>
  </si>
  <si>
    <t xml:space="preserve">G5</t>
  </si>
  <si>
    <t xml:space="preserve">Maximum drawdown (%)</t>
  </si>
  <si>
    <t xml:space="preserve">&lt;=</t>
  </si>
  <si>
    <t xml:space="preserve">G6</t>
  </si>
  <si>
    <t xml:space="preserve">Penurunan hasil saat parameter digeser 20% (%)</t>
  </si>
  <si>
    <t xml:space="preserve">G7</t>
  </si>
  <si>
    <t xml:space="preserve">Order ganda setelah putus koneksi (jumlah)</t>
  </si>
  <si>
    <t xml:space="preserve">Hari 3</t>
  </si>
  <si>
    <t xml:space="preserve">G8</t>
  </si>
  <si>
    <t xml:space="preserve">Desync posisi bot vs bursa selama uji (jumlah)</t>
  </si>
  <si>
    <t xml:space="preserve">Hari 5</t>
  </si>
  <si>
    <t xml:space="preserve">G9</t>
  </si>
  <si>
    <t xml:space="preserve">Insiden operasional saat live (jumlah)</t>
  </si>
  <si>
    <t xml:space="preserve">Hari 6</t>
  </si>
  <si>
    <t xml:space="preserve">G10</t>
  </si>
  <si>
    <t xml:space="preserve">Slippage nyata dibanding asumsi model (rasio)</t>
  </si>
  <si>
    <t xml:space="preserve">G11</t>
  </si>
  <si>
    <t xml:space="preserve">Expectancy setelah slippage nyata dimasukkan (bps)</t>
  </si>
  <si>
    <t xml:space="preserve">G12</t>
  </si>
  <si>
    <t xml:space="preserve">Selisih P&amp;L nyata terhadap simulasi (%)</t>
  </si>
  <si>
    <t xml:space="preserve">Minggu 3</t>
  </si>
  <si>
    <t xml:space="preserve">G13</t>
  </si>
  <si>
    <t xml:space="preserve">Perbaikan darurat selama 4 minggu (jumlah)</t>
  </si>
  <si>
    <t xml:space="preserve">Minggu 5</t>
  </si>
  <si>
    <t xml:space="preserve">G14</t>
  </si>
  <si>
    <t xml:space="preserve">Batas bawah selang kepercayaan expectancy (bps)</t>
  </si>
  <si>
    <t xml:space="preserve">Minggu 7</t>
  </si>
  <si>
    <t xml:space="preserve">G15</t>
  </si>
  <si>
    <t xml:space="preserve">Kenaikan expectancy dari penyaring ML (%)</t>
  </si>
  <si>
    <t xml:space="preserve">Minggu 9</t>
  </si>
  <si>
    <t xml:space="preserve">G16</t>
  </si>
  <si>
    <t xml:space="preserve">Sharpe bersih pada data live minimal 6 minggu</t>
  </si>
  <si>
    <t xml:space="preserve">Minggu 12</t>
  </si>
  <si>
    <t xml:space="preserve">Belum dicek</t>
  </si>
  <si>
    <t xml:space="preserve">Arah: &gt;= artinya aktual harus lebih besar atau sama dengan target. &lt;= artinya harus lebih kecil atau sama.</t>
  </si>
  <si>
    <t xml:space="preserve">Log Harian Live</t>
  </si>
  <si>
    <t xml:space="preserve">Diisi tiap hari sejak Hari 6. Satu baris per hari. Contoh di baris 4 - hapus setelah paham formatnya.</t>
  </si>
  <si>
    <t xml:space="preserve">Tanggal</t>
  </si>
  <si>
    <t xml:space="preserve">Trade</t>
  </si>
  <si>
    <t xml:space="preserve">Menang</t>
  </si>
  <si>
    <t xml:space="preserve">Kalah</t>
  </si>
  <si>
    <t xml:space="preserve">Slip model bps</t>
  </si>
  <si>
    <t xml:space="preserve">Slip aktual bps</t>
  </si>
  <si>
    <t xml:space="preserve">Selisih</t>
  </si>
  <si>
    <t xml:space="preserve">P&amp;L bersih</t>
  </si>
  <si>
    <t xml:space="preserve">Insiden</t>
  </si>
  <si>
    <t xml:space="preserve">2026-09-15</t>
  </si>
  <si>
    <t xml:space="preserve">Tidak ada</t>
  </si>
  <si>
    <t xml:space="preserve">CONTOH - hapus baris ini</t>
  </si>
  <si>
    <t xml:space="preserve">Total trade</t>
  </si>
  <si>
    <t xml:space="preserve">P&amp;L kumulatif</t>
  </si>
  <si>
    <t xml:space="preserve">Rata-rata slippage aktual</t>
  </si>
  <si>
    <t xml:space="preserve">Kolom Selisih = slippage aktual dibagi slippage model. Di atas 1,5x berarti gate G10 gagal dan model biaya harus dikoreksi.</t>
  </si>
  <si>
    <t xml:space="preserve">P&amp;L bersih diisi dalam rupiah, setelah seluruh fee. Angka negatif ditulis dengan tanda minus.</t>
  </si>
  <si>
    <t xml:space="preserve">Catatan Keputusan</t>
  </si>
  <si>
    <t xml:space="preserve">Keputusan yang tidak dicatat akan diperdebatkan ulang dari nol dua minggu lagi.</t>
  </si>
  <si>
    <t xml:space="preserve">Keputusan</t>
  </si>
  <si>
    <t xml:space="preserve">Alasan</t>
  </si>
  <si>
    <t xml:space="preserve">Alternatif yang ditolak</t>
  </si>
  <si>
    <t xml:space="preserve">Ditinjau ulang kapan</t>
  </si>
  <si>
    <t xml:space="preserve">Pasar: kontrak berjangka kripto, bukan saham</t>
  </si>
  <si>
    <t xml:space="preserve">Satu-satunya pasar dengan ongkos cukup rendah untuk skala menit, akses API terbuka, tanpa syarat modal besar.</t>
  </si>
  <si>
    <t xml:space="preserve">Saham IDX (ongkos 12-15x pergerakan tipikal, tidak ada API retail). Saham AS (terhalang aturan Pattern Day Trader di bawah USD 25.000).</t>
  </si>
  <si>
    <t xml:space="preserve">Sprint 4</t>
  </si>
  <si>
    <t xml:space="preserve">TradingView tidak dipakai</t>
  </si>
  <si>
    <t xml:space="preserve">Backtester-nya mengasumsikan order terisi di harga bar tanpa model spread dan antrian, dan alert-nya tidak menerima umpan balik fill.</t>
  </si>
  <si>
    <t xml:space="preserve">Hybrid webhook TradingView ke eksekutor sendiri.</t>
  </si>
  <si>
    <t xml:space="preserve">Tidak ditinjau ulang</t>
  </si>
  <si>
    <t xml:space="preserve">Satu instrumen likuiditas tinggi di awal</t>
  </si>
  <si>
    <t xml:space="preserve">Aset dengan perdagangan tipis menghasilkan backtest yang menipu karena harga di layar bukan harga yang bisa didapat.</t>
  </si>
  <si>
    <t xml:space="preserve">Altcoin dengan volatilitas lebih tinggi.</t>
  </si>
  <si>
    <t xml:space="preserve">Sprint 6</t>
  </si>
  <si>
    <t xml:space="preserve">Aturan sederhana dulu, ML di Sprint 5</t>
  </si>
  <si>
    <t xml:space="preserve">Kalau aturan dasarnya tidak punya keunggulan, ML hanya menemukan pola di keacakan dengan lebih meyakinkan.</t>
  </si>
  <si>
    <t xml:space="preserve">Langsung pakai LightGBM atau LSTM sebagai penghasil sinyal.</t>
  </si>
  <si>
    <t xml:space="preserve">Sprint 5</t>
  </si>
  <si>
    <t xml:space="preserve">Leverage 1x, isolated margin</t>
  </si>
  <si>
    <t xml:space="preserve">Leverage memperbesar apa pun yang sudah ada, termasuk kesalahan.</t>
  </si>
  <si>
    <t xml:space="preserve">Leverage 3-5x untuk memperbesar keuntungan absolut.</t>
  </si>
  <si>
    <t xml:space="preserve">Uang sungguhan masuk di Hari 6, jumlah mikro</t>
  </si>
  <si>
    <t xml:space="preserve">Slippage tidak bisa diukur di testnet, dan seluruh penilaian strategi bergantung pada model biaya.</t>
  </si>
  <si>
    <t xml:space="preserve">Paper trading penuh selama sebulan sebelum live.</t>
  </si>
  <si>
    <t xml:space="preserve">Instrumen terpilih: ______</t>
  </si>
  <si>
    <t xml:space="preserve">Diisi setelah Hari 1</t>
  </si>
  <si>
    <t xml:space="preserve">Sprint 2</t>
  </si>
  <si>
    <t xml:space="preserve">Daftar Risiko</t>
  </si>
  <si>
    <t xml:space="preserve">Skor = dampak x kemungkinan, skala 1-5 masing-masing. Skor 12 ke atas wajib ada mitigasi aktif.</t>
  </si>
  <si>
    <t xml:space="preserve">Risiko</t>
  </si>
  <si>
    <t xml:space="preserve">Dampak</t>
  </si>
  <si>
    <t xml:space="preserve">Kemungkinan</t>
  </si>
  <si>
    <t xml:space="preserve">Skor</t>
  </si>
  <si>
    <t xml:space="preserve">Mitigasi</t>
  </si>
  <si>
    <t xml:space="preserve">R1</t>
  </si>
  <si>
    <t xml:space="preserve">Overfitting: hasil bagus hanya muncul di rentang parameter sempit</t>
  </si>
  <si>
    <t xml:space="preserve">Maksimal 3 parameter. Uji sensitivitas plus minus 20%. Evaluasi hanya di data out-of-sample.</t>
  </si>
  <si>
    <t xml:space="preserve">Aktif</t>
  </si>
  <si>
    <t xml:space="preserve">R2</t>
  </si>
  <si>
    <t xml:space="preserve">Backtest tanpa ongkos penuh menghasilkan kurva keuntungan palsu</t>
  </si>
  <si>
    <t xml:space="preserve">cost_model.py wajib dipanggil di tiap transaksi simulasi. Slippage dikoreksi dengan angka nyata di Hari 7.</t>
  </si>
  <si>
    <t xml:space="preserve">R3</t>
  </si>
  <si>
    <t xml:space="preserve">Order ganda setelah putus koneksi</t>
  </si>
  <si>
    <t xml:space="preserve">Client order ID idempoten. Diuji dengan memutus jaringan sengaja sebelum uang masuk.</t>
  </si>
  <si>
    <t xml:space="preserve">R4</t>
  </si>
  <si>
    <t xml:space="preserve">Posisi bot berbeda dari posisi bursa tanpa ketahuan</t>
  </si>
  <si>
    <t xml:space="preserve">Rekonsiliasi tiap 30 detik. Selisih memicu berhenti, bukan diperbaiki diam-diam.</t>
  </si>
  <si>
    <t xml:space="preserve">R5</t>
  </si>
  <si>
    <t xml:space="preserve">Modal dinaikkan setelah beruntun menang di sampel kecil</t>
  </si>
  <si>
    <t xml:space="preserve">Aturan tertulis: modal tidak naik sebelum Sprint 4 dan selang kepercayaan expectancy tidak melewati nol.</t>
  </si>
  <si>
    <t xml:space="preserve">R6</t>
  </si>
  <si>
    <t xml:space="preserve">Intervensi manual merusak validitas data</t>
  </si>
  <si>
    <t xml:space="preserve">Tidak ada pembatalan trade manual. Perubahan apa pun dilakukan dengan bot dimatikan dan dicatat di lessons.md.</t>
  </si>
  <si>
    <t xml:space="preserve">R7</t>
  </si>
  <si>
    <t xml:space="preserve">API key bocor atau disalahgunakan</t>
  </si>
  <si>
    <t xml:space="preserve">Izin trading saja tanpa penarikan. IP whitelist ke VPS. secrets.env tidak masuk git.</t>
  </si>
  <si>
    <t xml:space="preserve">R8</t>
  </si>
  <si>
    <t xml:space="preserve">Tidak ada edge sama sekali di pola pertama</t>
  </si>
  <si>
    <t xml:space="preserve">Diperlakukan sebagai hasil sah, bukan kegagalan. Infrastruktur dipakai ulang untuk pola berikutnya.</t>
  </si>
  <si>
    <t xml:space="preserve">Diterima</t>
  </si>
  <si>
    <t xml:space="preserve">R9</t>
  </si>
  <si>
    <t xml:space="preserve">Ketidakjelasan pajak derivatif kripto lintas negara</t>
  </si>
  <si>
    <t xml:space="preserve">Konsultasi sebelum modal dinaikkan. Modal tetap mikro sampai jelas.</t>
  </si>
  <si>
    <t xml:space="preserve">Terbuka</t>
  </si>
  <si>
    <t xml:space="preserve">R10</t>
  </si>
  <si>
    <t xml:space="preserve">Bursa membatasi akses atau mengubah aturan</t>
  </si>
  <si>
    <t xml:space="preserve">Semua akses bursa terpusat di broker.py, sehingga pindah bursa hanya mengubah satu file.</t>
  </si>
  <si>
    <t xml:space="preserve">R11</t>
  </si>
  <si>
    <t xml:space="preserve">Kehabisan waktu karena target 7 hari terlalu padat</t>
  </si>
  <si>
    <t xml:space="preserve">Gate harian. Gate gagal berarti mengulang hari itu, bukan memaksa lanjut ke hari berikutnya.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</si>
</sst>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%"/>
    <numFmt numFmtId="167" formatCode="#,##0;\(#,##0\);\-"/>
    <numFmt numFmtId="168" formatCode="0.00"/>
    <numFmt numFmtId="169" formatCode="0.0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2203A"/>
      <name val="Arial"/>
      <family val="0"/>
      <charset val="1"/>
    </font>
    <font>
      <sz val="9"/>
      <color rgb="FF4A5A7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B0741F"/>
      <name val="Arial"/>
      <family val="0"/>
      <charset val="1"/>
    </font>
    <font>
      <b val="true"/>
      <sz val="10"/>
      <color rgb="FF12203A"/>
      <name val="Arial"/>
      <family val="0"/>
      <charset val="1"/>
    </font>
    <font>
      <sz val="10"/>
      <color rgb="FF12203A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12203A"/>
      <name val="Courier New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2203A"/>
        <bgColor rgb="FF333333"/>
      </patternFill>
    </fill>
    <fill>
      <patternFill patternType="solid">
        <fgColor rgb="FFE3E8ED"/>
        <bgColor rgb="FFFFF7E0"/>
      </patternFill>
    </fill>
    <fill>
      <patternFill patternType="solid">
        <fgColor rgb="FFFFF7E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3CCD6"/>
      </left>
      <right style="thin">
        <color rgb="FFC3CCD6"/>
      </right>
      <top style="thin">
        <color rgb="FFC3CCD6"/>
      </top>
      <bottom style="thin">
        <color rgb="FFC3CC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0741F"/>
      <rgbColor rgb="FF800080"/>
      <rgbColor rgb="FF008080"/>
      <rgbColor rgb="FFC3CCD6"/>
      <rgbColor rgb="FF808080"/>
      <rgbColor rgb="FF9999FF"/>
      <rgbColor rgb="FF993366"/>
      <rgbColor rgb="FFFFF7E0"/>
      <rgbColor rgb="FFE3E8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5A72"/>
      <rgbColor rgb="FF969696"/>
      <rgbColor rgb="FF1220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6"/>
    <col collapsed="false" customWidth="true" hidden="false" outlineLevel="0" max="4" min="4" style="0" width="52"/>
  </cols>
  <sheetData>
    <row r="1" customFormat="false" ht="21.75" hidden="false" customHeight="true" outlineLevel="0" collapsed="false">
      <c r="A1" s="1" t="s">
        <v>0</v>
      </c>
    </row>
    <row r="2" customFormat="false" ht="13.5" hidden="false" customHeight="true" outlineLevel="0" collapsed="false">
      <c r="A2" s="2" t="s">
        <v>1</v>
      </c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</row>
    <row r="4" customFormat="false" ht="19.5" hidden="false" customHeight="true" outlineLevel="0" collapsed="false">
      <c r="A4" s="4" t="s">
        <v>6</v>
      </c>
      <c r="B4" s="5"/>
      <c r="C4" s="5"/>
      <c r="D4" s="5"/>
    </row>
    <row r="5" customFormat="false" ht="19.5" hidden="false" customHeight="true" outlineLevel="0" collapsed="false">
      <c r="A5" s="6" t="s">
        <v>7</v>
      </c>
      <c r="B5" s="7" t="n">
        <f aca="false">'Sprint 1 Harian'!E46</f>
        <v>0</v>
      </c>
      <c r="C5" s="8" t="n">
        <f aca="false">'Sprint 1 Harian'!E47</f>
        <v>40</v>
      </c>
      <c r="D5" s="9" t="s">
        <v>8</v>
      </c>
    </row>
    <row r="6" customFormat="false" ht="19.5" hidden="false" customHeight="true" outlineLevel="0" collapsed="false">
      <c r="A6" s="6" t="s">
        <v>9</v>
      </c>
      <c r="B6" s="10" t="n">
        <f aca="false">IFERROR(B5/C5,0)</f>
        <v>0</v>
      </c>
      <c r="C6" s="8"/>
      <c r="D6" s="9" t="s">
        <v>10</v>
      </c>
    </row>
    <row r="7" customFormat="false" ht="19.5" hidden="false" customHeight="true" outlineLevel="0" collapsed="false">
      <c r="A7" s="6" t="s">
        <v>11</v>
      </c>
      <c r="B7" s="7" t="n">
        <f aca="false">'Checklist Kode'!C44</f>
        <v>4</v>
      </c>
      <c r="C7" s="8" t="n">
        <f aca="false">'Checklist Kode'!C45</f>
        <v>39</v>
      </c>
      <c r="D7" s="9" t="s">
        <v>12</v>
      </c>
    </row>
    <row r="8" customFormat="false" ht="19.5" hidden="false" customHeight="true" outlineLevel="0" collapsed="false">
      <c r="A8" s="6" t="s">
        <v>13</v>
      </c>
      <c r="B8" s="10" t="n">
        <f aca="false">IFERROR(B7/C7,0)</f>
        <v>0.102564102564103</v>
      </c>
      <c r="C8" s="8"/>
      <c r="D8" s="9"/>
    </row>
    <row r="9" customFormat="false" ht="19.5" hidden="false" customHeight="true" outlineLevel="0" collapsed="false">
      <c r="A9" s="6" t="s">
        <v>14</v>
      </c>
      <c r="B9" s="7" t="n">
        <f aca="false">'Sprint 1 Harian'!E45</f>
        <v>61.7</v>
      </c>
      <c r="C9" s="8"/>
      <c r="D9" s="9" t="s">
        <v>15</v>
      </c>
    </row>
    <row r="10" customFormat="false" ht="19.5" hidden="false" customHeight="true" outlineLevel="0" collapsed="false">
      <c r="A10" s="4" t="s">
        <v>16</v>
      </c>
      <c r="B10" s="5"/>
      <c r="C10" s="5"/>
      <c r="D10" s="5"/>
    </row>
    <row r="11" customFormat="false" ht="19.5" hidden="false" customHeight="true" outlineLevel="0" collapsed="false">
      <c r="A11" s="6" t="s">
        <v>17</v>
      </c>
      <c r="B11" s="7" t="n">
        <f aca="false">'Gate Outcome'!D21</f>
        <v>0</v>
      </c>
      <c r="C11" s="8" t="n">
        <f aca="false">16</f>
        <v>16</v>
      </c>
      <c r="D11" s="9" t="s">
        <v>18</v>
      </c>
    </row>
    <row r="12" customFormat="false" ht="19.5" hidden="false" customHeight="true" outlineLevel="0" collapsed="false">
      <c r="A12" s="6" t="s">
        <v>19</v>
      </c>
      <c r="B12" s="7" t="n">
        <f aca="false">'Gate Outcome'!D22</f>
        <v>0</v>
      </c>
      <c r="C12" s="8"/>
      <c r="D12" s="9" t="s">
        <v>20</v>
      </c>
    </row>
    <row r="13" customFormat="false" ht="19.5" hidden="false" customHeight="true" outlineLevel="0" collapsed="false">
      <c r="A13" s="6" t="s">
        <v>21</v>
      </c>
      <c r="B13" s="7" t="n">
        <f aca="false">'Gate Outcome'!D23</f>
        <v>16</v>
      </c>
      <c r="C13" s="8"/>
      <c r="D13" s="9"/>
    </row>
    <row r="14" customFormat="false" ht="19.5" hidden="false" customHeight="true" outlineLevel="0" collapsed="false">
      <c r="A14" s="4" t="s">
        <v>22</v>
      </c>
      <c r="B14" s="5"/>
      <c r="C14" s="5"/>
      <c r="D14" s="5"/>
    </row>
    <row r="15" customFormat="false" ht="19.5" hidden="false" customHeight="true" outlineLevel="0" collapsed="false">
      <c r="A15" s="6" t="s">
        <v>23</v>
      </c>
      <c r="B15" s="7" t="n">
        <f aca="false">'Log Harian'!B72</f>
        <v>34</v>
      </c>
      <c r="C15" s="8"/>
      <c r="D15" s="9" t="s">
        <v>24</v>
      </c>
    </row>
    <row r="16" customFormat="false" ht="19.5" hidden="false" customHeight="true" outlineLevel="0" collapsed="false">
      <c r="A16" s="6" t="s">
        <v>25</v>
      </c>
      <c r="B16" s="10" t="n">
        <f aca="false">'Log Harian'!B73</f>
        <v>0.529411764705882</v>
      </c>
      <c r="C16" s="8"/>
      <c r="D16" s="9" t="s">
        <v>26</v>
      </c>
    </row>
    <row r="17" customFormat="false" ht="19.5" hidden="false" customHeight="true" outlineLevel="0" collapsed="false">
      <c r="A17" s="6" t="s">
        <v>27</v>
      </c>
      <c r="B17" s="11" t="n">
        <f aca="false">'Log Harian'!B74</f>
        <v>-12500</v>
      </c>
      <c r="C17" s="8"/>
      <c r="D17" s="9" t="s">
        <v>28</v>
      </c>
    </row>
    <row r="18" customFormat="false" ht="19.5" hidden="false" customHeight="true" outlineLevel="0" collapsed="false">
      <c r="A18" s="6" t="s">
        <v>29</v>
      </c>
      <c r="B18" s="12" t="n">
        <f aca="false">'Log Harian'!B75</f>
        <v>3.4</v>
      </c>
      <c r="C18" s="8"/>
      <c r="D18" s="9" t="s">
        <v>30</v>
      </c>
    </row>
    <row r="19" customFormat="false" ht="19.5" hidden="false" customHeight="true" outlineLevel="0" collapsed="false">
      <c r="A19" s="4" t="s">
        <v>31</v>
      </c>
      <c r="B19" s="5"/>
      <c r="C19" s="5"/>
      <c r="D19" s="5"/>
    </row>
    <row r="20" customFormat="false" ht="19.5" hidden="false" customHeight="true" outlineLevel="0" collapsed="false">
      <c r="A20" s="6" t="s">
        <v>32</v>
      </c>
      <c r="B20" s="7" t="n">
        <f aca="false">COUNTIF(Risiko!E4:E14,"&gt;=12")</f>
        <v>7</v>
      </c>
      <c r="C20" s="8" t="n">
        <f aca="false">11</f>
        <v>11</v>
      </c>
      <c r="D20" s="9" t="s">
        <v>33</v>
      </c>
    </row>
    <row r="21" customFormat="false" ht="19.5" hidden="false" customHeight="true" outlineLevel="0" collapsed="false">
      <c r="A21" s="6" t="s">
        <v>34</v>
      </c>
      <c r="B21" s="7" t="n">
        <f aca="false">COUNTIF(Risiko!G4:G14,"Terbuka")</f>
        <v>1</v>
      </c>
      <c r="C21" s="8"/>
      <c r="D21" s="9" t="s">
        <v>35</v>
      </c>
    </row>
    <row r="23" customFormat="false" ht="15" hidden="false" customHeight="false" outlineLevel="0" collapsed="false">
      <c r="A23" s="13" t="s">
        <v>36</v>
      </c>
    </row>
    <row r="24" customFormat="false" ht="15" hidden="false" customHeight="false" outlineLevel="0" collapsed="false">
      <c r="A24" s="2" t="s">
        <v>37</v>
      </c>
    </row>
    <row r="25" customFormat="false" ht="15" hidden="false" customHeight="false" outlineLevel="0" collapsed="false">
      <c r="A25" s="2" t="s">
        <v>38</v>
      </c>
    </row>
    <row r="26" customFormat="false" ht="15" hidden="false" customHeight="false" outlineLevel="0" collapsed="false">
      <c r="A26" s="2" t="s">
        <v>39</v>
      </c>
    </row>
    <row r="27" customFormat="false" ht="15" hidden="false" customHeight="false" outlineLevel="0" collapsed="false">
      <c r="A27" s="2" t="s">
        <v>40</v>
      </c>
    </row>
    <row r="28" customFormat="false" ht="15" hidden="false" customHeight="false" outlineLevel="0" collapsed="false">
      <c r="A28" s="2" t="s">
        <v>41</v>
      </c>
    </row>
    <row r="29" customFormat="false" ht="15" hidden="false" customHeight="false" outlineLevel="0" collapsed="false">
      <c r="A29" s="2"/>
    </row>
    <row r="30" customFormat="false" ht="15" hidden="false" customHeight="false" outlineLevel="0" collapsed="false">
      <c r="A30" s="2" t="s">
        <v>42</v>
      </c>
    </row>
    <row r="31" customFormat="false" ht="15" hidden="false" customHeight="false" outlineLevel="0" collapsed="false">
      <c r="A31" s="2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8"/>
    <col collapsed="false" customWidth="true" hidden="false" outlineLevel="0" max="3" min="3" style="0" width="34"/>
  </cols>
  <sheetData>
    <row r="1" customFormat="false" ht="21.75" hidden="false" customHeight="true" outlineLevel="0" collapsed="false">
      <c r="A1" s="1" t="s">
        <v>44</v>
      </c>
    </row>
    <row r="2" customFormat="false" ht="13.5" hidden="false" customHeight="true" outlineLevel="0" collapsed="false">
      <c r="A2" s="2" t="s">
        <v>45</v>
      </c>
    </row>
    <row r="3" customFormat="false" ht="30" hidden="false" customHeight="true" outlineLevel="0" collapsed="false">
      <c r="A3" s="3" t="s">
        <v>46</v>
      </c>
      <c r="B3" s="3" t="s">
        <v>47</v>
      </c>
      <c r="C3" s="3" t="s">
        <v>48</v>
      </c>
    </row>
    <row r="4" customFormat="false" ht="19.5" hidden="false" customHeight="true" outlineLevel="0" collapsed="false">
      <c r="A4" s="4" t="s">
        <v>49</v>
      </c>
      <c r="B4" s="5"/>
      <c r="C4" s="5"/>
    </row>
    <row r="5" customFormat="false" ht="30" hidden="false" customHeight="true" outlineLevel="0" collapsed="false">
      <c r="A5" s="6" t="s">
        <v>50</v>
      </c>
      <c r="B5" s="14" t="s">
        <v>51</v>
      </c>
      <c r="C5" s="9"/>
    </row>
    <row r="6" customFormat="false" ht="30" hidden="false" customHeight="true" outlineLevel="0" collapsed="false">
      <c r="A6" s="6" t="s">
        <v>52</v>
      </c>
      <c r="B6" s="14" t="s">
        <v>53</v>
      </c>
      <c r="C6" s="9"/>
    </row>
    <row r="7" customFormat="false" ht="30" hidden="false" customHeight="true" outlineLevel="0" collapsed="false">
      <c r="A7" s="6" t="s">
        <v>54</v>
      </c>
      <c r="B7" s="14" t="s">
        <v>55</v>
      </c>
      <c r="C7" s="9" t="s">
        <v>56</v>
      </c>
    </row>
    <row r="8" customFormat="false" ht="19.5" hidden="false" customHeight="true" outlineLevel="0" collapsed="false">
      <c r="A8" s="4" t="s">
        <v>57</v>
      </c>
      <c r="B8" s="5"/>
      <c r="C8" s="5"/>
    </row>
    <row r="9" customFormat="false" ht="30" hidden="false" customHeight="true" outlineLevel="0" collapsed="false">
      <c r="A9" s="6" t="s">
        <v>58</v>
      </c>
      <c r="B9" s="14" t="s">
        <v>59</v>
      </c>
      <c r="C9" s="9" t="s">
        <v>60</v>
      </c>
    </row>
    <row r="10" customFormat="false" ht="30" hidden="false" customHeight="true" outlineLevel="0" collapsed="false">
      <c r="A10" s="6" t="s">
        <v>61</v>
      </c>
      <c r="B10" s="14" t="s">
        <v>62</v>
      </c>
      <c r="C10" s="9"/>
    </row>
    <row r="11" customFormat="false" ht="30" hidden="false" customHeight="true" outlineLevel="0" collapsed="false">
      <c r="A11" s="6" t="s">
        <v>63</v>
      </c>
      <c r="B11" s="14" t="s">
        <v>64</v>
      </c>
      <c r="C11" s="9"/>
    </row>
    <row r="12" customFormat="false" ht="19.5" hidden="false" customHeight="true" outlineLevel="0" collapsed="false">
      <c r="A12" s="4" t="s">
        <v>65</v>
      </c>
      <c r="B12" s="5"/>
      <c r="C12" s="5"/>
    </row>
    <row r="13" customFormat="false" ht="30" hidden="false" customHeight="true" outlineLevel="0" collapsed="false">
      <c r="A13" s="6" t="s">
        <v>66</v>
      </c>
      <c r="B13" s="14" t="s">
        <v>67</v>
      </c>
      <c r="C13" s="9" t="s">
        <v>68</v>
      </c>
    </row>
    <row r="14" customFormat="false" ht="30" hidden="false" customHeight="true" outlineLevel="0" collapsed="false">
      <c r="A14" s="6" t="s">
        <v>69</v>
      </c>
      <c r="B14" s="14" t="s">
        <v>70</v>
      </c>
      <c r="C14" s="9"/>
    </row>
    <row r="15" customFormat="false" ht="30" hidden="false" customHeight="true" outlineLevel="0" collapsed="false">
      <c r="A15" s="6" t="s">
        <v>71</v>
      </c>
      <c r="B15" s="14" t="s">
        <v>72</v>
      </c>
      <c r="C15" s="9"/>
    </row>
    <row r="16" customFormat="false" ht="19.5" hidden="false" customHeight="true" outlineLevel="0" collapsed="false">
      <c r="A16" s="4" t="s">
        <v>73</v>
      </c>
      <c r="B16" s="5"/>
      <c r="C16" s="5"/>
    </row>
    <row r="17" customFormat="false" ht="30" hidden="false" customHeight="true" outlineLevel="0" collapsed="false">
      <c r="A17" s="6" t="s">
        <v>74</v>
      </c>
      <c r="B17" s="14" t="s">
        <v>75</v>
      </c>
      <c r="C17" s="9"/>
    </row>
    <row r="18" customFormat="false" ht="30" hidden="false" customHeight="true" outlineLevel="0" collapsed="false">
      <c r="A18" s="6" t="s">
        <v>76</v>
      </c>
      <c r="B18" s="14" t="s">
        <v>77</v>
      </c>
      <c r="C18" s="9"/>
    </row>
    <row r="19" customFormat="false" ht="30" hidden="false" customHeight="true" outlineLevel="0" collapsed="false">
      <c r="A19" s="6" t="s">
        <v>78</v>
      </c>
      <c r="B19" s="14" t="s">
        <v>79</v>
      </c>
      <c r="C19" s="9" t="s">
        <v>80</v>
      </c>
    </row>
    <row r="20" customFormat="false" ht="30" hidden="false" customHeight="true" outlineLevel="0" collapsed="false">
      <c r="A20" s="6" t="s">
        <v>81</v>
      </c>
      <c r="B20" s="14" t="s">
        <v>82</v>
      </c>
      <c r="C20" s="9"/>
    </row>
    <row r="21" customFormat="false" ht="19.5" hidden="false" customHeight="true" outlineLevel="0" collapsed="false">
      <c r="A21" s="4" t="s">
        <v>83</v>
      </c>
      <c r="B21" s="5"/>
      <c r="C21" s="5"/>
    </row>
    <row r="22" customFormat="false" ht="30" hidden="false" customHeight="true" outlineLevel="0" collapsed="false">
      <c r="A22" s="6" t="s">
        <v>84</v>
      </c>
      <c r="B22" s="14" t="s">
        <v>85</v>
      </c>
      <c r="C22" s="9" t="s">
        <v>86</v>
      </c>
    </row>
    <row r="23" customFormat="false" ht="30" hidden="false" customHeight="true" outlineLevel="0" collapsed="false">
      <c r="A23" s="6" t="s">
        <v>87</v>
      </c>
      <c r="B23" s="14" t="s">
        <v>88</v>
      </c>
      <c r="C23" s="9" t="s">
        <v>89</v>
      </c>
    </row>
    <row r="24" customFormat="false" ht="30" hidden="false" customHeight="true" outlineLevel="0" collapsed="false">
      <c r="A24" s="6" t="s">
        <v>90</v>
      </c>
      <c r="B24" s="14" t="s">
        <v>91</v>
      </c>
      <c r="C24" s="9" t="s">
        <v>92</v>
      </c>
    </row>
    <row r="25" customFormat="false" ht="30" hidden="false" customHeight="true" outlineLevel="0" collapsed="false">
      <c r="A25" s="6" t="s">
        <v>93</v>
      </c>
      <c r="B25" s="14" t="s">
        <v>94</v>
      </c>
      <c r="C25" s="9" t="s">
        <v>95</v>
      </c>
    </row>
    <row r="26" customFormat="false" ht="19.5" hidden="false" customHeight="true" outlineLevel="0" collapsed="false">
      <c r="A26" s="4" t="s">
        <v>96</v>
      </c>
      <c r="B26" s="5"/>
      <c r="C26" s="5"/>
    </row>
    <row r="27" customFormat="false" ht="30" hidden="false" customHeight="true" outlineLevel="0" collapsed="false">
      <c r="A27" s="6" t="s">
        <v>97</v>
      </c>
      <c r="B27" s="14" t="s">
        <v>98</v>
      </c>
      <c r="C27" s="9"/>
    </row>
    <row r="28" customFormat="false" ht="30" hidden="false" customHeight="true" outlineLevel="0" collapsed="false">
      <c r="A28" s="6" t="s">
        <v>99</v>
      </c>
      <c r="B28" s="14" t="s">
        <v>100</v>
      </c>
      <c r="C28" s="9" t="s">
        <v>101</v>
      </c>
    </row>
    <row r="29" customFormat="false" ht="30" hidden="false" customHeight="true" outlineLevel="0" collapsed="false">
      <c r="A29" s="6" t="s">
        <v>102</v>
      </c>
      <c r="B29" s="14" t="s">
        <v>103</v>
      </c>
      <c r="C29" s="9"/>
    </row>
    <row r="30" customFormat="false" ht="30" hidden="false" customHeight="true" outlineLevel="0" collapsed="false">
      <c r="A30" s="6" t="s">
        <v>104</v>
      </c>
      <c r="B30" s="14" t="s">
        <v>105</v>
      </c>
      <c r="C30" s="9"/>
    </row>
    <row r="31" customFormat="false" ht="30" hidden="false" customHeight="true" outlineLevel="0" collapsed="false">
      <c r="A31" s="6" t="s">
        <v>106</v>
      </c>
      <c r="B31" s="14" t="s">
        <v>107</v>
      </c>
      <c r="C31" s="9" t="s">
        <v>108</v>
      </c>
    </row>
    <row r="32" customFormat="false" ht="19.5" hidden="false" customHeight="true" outlineLevel="0" collapsed="false">
      <c r="A32" s="4" t="s">
        <v>109</v>
      </c>
      <c r="B32" s="5"/>
      <c r="C32" s="5"/>
    </row>
    <row r="33" customFormat="false" ht="30" hidden="false" customHeight="true" outlineLevel="0" collapsed="false">
      <c r="A33" s="6" t="s">
        <v>110</v>
      </c>
      <c r="B33" s="14" t="s">
        <v>111</v>
      </c>
      <c r="C33" s="9"/>
    </row>
    <row r="34" customFormat="false" ht="30" hidden="false" customHeight="true" outlineLevel="0" collapsed="false">
      <c r="A34" s="6" t="s">
        <v>112</v>
      </c>
      <c r="B34" s="14" t="s">
        <v>113</v>
      </c>
      <c r="C34" s="9"/>
    </row>
    <row r="35" customFormat="false" ht="30" hidden="false" customHeight="true" outlineLevel="0" collapsed="false">
      <c r="A35" s="6" t="s">
        <v>114</v>
      </c>
      <c r="B35" s="14" t="s">
        <v>115</v>
      </c>
      <c r="C35" s="9"/>
    </row>
    <row r="36" customFormat="false" ht="30" hidden="false" customHeight="true" outlineLevel="0" collapsed="false">
      <c r="A36" s="6" t="s">
        <v>116</v>
      </c>
      <c r="B36" s="14" t="s">
        <v>117</v>
      </c>
      <c r="C36" s="9"/>
    </row>
    <row r="37" customFormat="false" ht="30" hidden="false" customHeight="true" outlineLevel="0" collapsed="false">
      <c r="A37" s="6" t="s">
        <v>118</v>
      </c>
      <c r="B37" s="14" t="s">
        <v>119</v>
      </c>
      <c r="C37" s="9"/>
    </row>
    <row r="38" customFormat="false" ht="30" hidden="false" customHeight="true" outlineLevel="0" collapsed="false">
      <c r="A38" s="6" t="s">
        <v>120</v>
      </c>
      <c r="B38" s="14" t="s">
        <v>121</v>
      </c>
      <c r="C38" s="9"/>
    </row>
    <row r="40" customFormat="false" ht="15" hidden="false" customHeight="false" outlineLevel="0" collapsed="false">
      <c r="A40" s="15" t="s">
        <v>122</v>
      </c>
      <c r="B40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34"/>
    <col collapsed="false" customWidth="true" hidden="false" outlineLevel="0" max="5" min="5" style="0" width="44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26"/>
  </cols>
  <sheetData>
    <row r="1" customFormat="false" ht="21.75" hidden="false" customHeight="true" outlineLevel="0" collapsed="false">
      <c r="A1" s="1" t="s">
        <v>123</v>
      </c>
    </row>
    <row r="2" customFormat="false" ht="13.5" hidden="false" customHeight="true" outlineLevel="0" collapsed="false">
      <c r="A2" s="2" t="s">
        <v>124</v>
      </c>
    </row>
    <row r="3" customFormat="false" ht="30" hidden="false" customHeight="true" outlineLevel="0" collapsed="false">
      <c r="A3" s="3" t="s">
        <v>125</v>
      </c>
      <c r="B3" s="3" t="s">
        <v>126</v>
      </c>
      <c r="C3" s="3" t="s">
        <v>127</v>
      </c>
      <c r="D3" s="3" t="s">
        <v>128</v>
      </c>
      <c r="E3" s="3" t="s">
        <v>129</v>
      </c>
      <c r="F3" s="3" t="s">
        <v>130</v>
      </c>
      <c r="G3" s="3" t="s">
        <v>131</v>
      </c>
      <c r="H3" s="3" t="s">
        <v>132</v>
      </c>
    </row>
    <row r="4" customFormat="false" ht="57.75" hidden="false" customHeight="true" outlineLevel="0" collapsed="false">
      <c r="A4" s="7" t="n">
        <v>1</v>
      </c>
      <c r="B4" s="14" t="s">
        <v>133</v>
      </c>
      <c r="C4" s="14" t="s">
        <v>134</v>
      </c>
      <c r="D4" s="14" t="s">
        <v>135</v>
      </c>
      <c r="E4" s="14" t="s">
        <v>136</v>
      </c>
      <c r="F4" s="17"/>
      <c r="G4" s="18" t="s">
        <v>137</v>
      </c>
      <c r="H4" s="17"/>
    </row>
    <row r="5" customFormat="false" ht="57.75" hidden="false" customHeight="true" outlineLevel="0" collapsed="false">
      <c r="A5" s="7" t="n">
        <v>2</v>
      </c>
      <c r="B5" s="14" t="s">
        <v>138</v>
      </c>
      <c r="C5" s="14" t="s">
        <v>139</v>
      </c>
      <c r="D5" s="14" t="s">
        <v>140</v>
      </c>
      <c r="E5" s="14" t="s">
        <v>141</v>
      </c>
      <c r="F5" s="17"/>
      <c r="G5" s="18" t="s">
        <v>137</v>
      </c>
      <c r="H5" s="17"/>
    </row>
    <row r="6" customFormat="false" ht="57.75" hidden="false" customHeight="true" outlineLevel="0" collapsed="false">
      <c r="A6" s="7" t="n">
        <v>3</v>
      </c>
      <c r="B6" s="14" t="s">
        <v>142</v>
      </c>
      <c r="C6" s="14" t="s">
        <v>143</v>
      </c>
      <c r="D6" s="14" t="s">
        <v>144</v>
      </c>
      <c r="E6" s="14" t="s">
        <v>145</v>
      </c>
      <c r="F6" s="17"/>
      <c r="G6" s="18" t="s">
        <v>137</v>
      </c>
      <c r="H6" s="17"/>
    </row>
    <row r="7" customFormat="false" ht="57.75" hidden="false" customHeight="true" outlineLevel="0" collapsed="false">
      <c r="A7" s="7" t="n">
        <v>4</v>
      </c>
      <c r="B7" s="14" t="s">
        <v>146</v>
      </c>
      <c r="C7" s="14" t="s">
        <v>147</v>
      </c>
      <c r="D7" s="14" t="s">
        <v>148</v>
      </c>
      <c r="E7" s="14" t="s">
        <v>149</v>
      </c>
      <c r="F7" s="17"/>
      <c r="G7" s="18" t="s">
        <v>137</v>
      </c>
      <c r="H7" s="17"/>
    </row>
    <row r="8" customFormat="false" ht="57.75" hidden="false" customHeight="true" outlineLevel="0" collapsed="false">
      <c r="A8" s="7" t="n">
        <v>5</v>
      </c>
      <c r="B8" s="14" t="s">
        <v>150</v>
      </c>
      <c r="C8" s="14" t="s">
        <v>151</v>
      </c>
      <c r="D8" s="14" t="s">
        <v>152</v>
      </c>
      <c r="E8" s="14" t="s">
        <v>153</v>
      </c>
      <c r="F8" s="17"/>
      <c r="G8" s="18" t="s">
        <v>137</v>
      </c>
      <c r="H8" s="17"/>
    </row>
    <row r="9" customFormat="false" ht="57.75" hidden="false" customHeight="true" outlineLevel="0" collapsed="false">
      <c r="A9" s="7" t="n">
        <v>6</v>
      </c>
      <c r="B9" s="14" t="s">
        <v>154</v>
      </c>
      <c r="C9" s="14" t="s">
        <v>155</v>
      </c>
      <c r="D9" s="14" t="s">
        <v>156</v>
      </c>
      <c r="E9" s="14" t="s">
        <v>157</v>
      </c>
      <c r="F9" s="17"/>
      <c r="G9" s="18" t="s">
        <v>137</v>
      </c>
      <c r="H9" s="17"/>
    </row>
  </sheetData>
  <dataValidations count="1">
    <dataValidation allowBlank="true" errorStyle="stop" operator="between" showDropDown="false" showErrorMessage="false" showInputMessage="false" sqref="G4:G9" type="list">
      <formula1>"Belum,Jalan,Selesai,Blocked,N/A"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52"/>
    <col collapsed="false" customWidth="true" hidden="false" outlineLevel="0" max="4" min="4" style="0" width="34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30"/>
    <col collapsed="false" customWidth="true" hidden="false" outlineLevel="0" max="8" min="8" style="0" width="24"/>
  </cols>
  <sheetData>
    <row r="1" customFormat="false" ht="21.75" hidden="false" customHeight="true" outlineLevel="0" collapsed="false">
      <c r="A1" s="1" t="s">
        <v>158</v>
      </c>
    </row>
    <row r="2" customFormat="false" ht="13.5" hidden="false" customHeight="true" outlineLevel="0" collapsed="false">
      <c r="A2" s="2" t="s">
        <v>159</v>
      </c>
    </row>
    <row r="3" customFormat="false" ht="30" hidden="false" customHeight="true" outlineLevel="0" collapsed="false">
      <c r="A3" s="3" t="s">
        <v>160</v>
      </c>
      <c r="B3" s="3" t="s">
        <v>161</v>
      </c>
      <c r="C3" s="3" t="s">
        <v>162</v>
      </c>
      <c r="D3" s="3" t="s">
        <v>163</v>
      </c>
      <c r="E3" s="3" t="s">
        <v>164</v>
      </c>
      <c r="F3" s="3" t="s">
        <v>131</v>
      </c>
      <c r="G3" s="3" t="s">
        <v>165</v>
      </c>
      <c r="H3" s="3" t="s">
        <v>132</v>
      </c>
    </row>
    <row r="4" customFormat="false" ht="25.5" hidden="false" customHeight="true" outlineLevel="0" collapsed="false">
      <c r="A4" s="7" t="n">
        <v>1</v>
      </c>
      <c r="B4" s="6" t="s">
        <v>166</v>
      </c>
      <c r="C4" s="14" t="s">
        <v>167</v>
      </c>
      <c r="D4" s="19" t="s">
        <v>168</v>
      </c>
      <c r="E4" s="8" t="n">
        <v>0.5</v>
      </c>
      <c r="F4" s="18" t="s">
        <v>137</v>
      </c>
      <c r="G4" s="9" t="s">
        <v>169</v>
      </c>
      <c r="H4" s="17"/>
    </row>
    <row r="5" customFormat="false" ht="25.5" hidden="false" customHeight="true" outlineLevel="0" collapsed="false">
      <c r="A5" s="7"/>
      <c r="B5" s="6"/>
      <c r="C5" s="14" t="s">
        <v>170</v>
      </c>
      <c r="D5" s="19" t="s">
        <v>171</v>
      </c>
      <c r="E5" s="8" t="n">
        <v>0.2</v>
      </c>
      <c r="F5" s="18" t="s">
        <v>137</v>
      </c>
      <c r="G5" s="9" t="s">
        <v>172</v>
      </c>
      <c r="H5" s="17"/>
    </row>
    <row r="6" customFormat="false" ht="25.5" hidden="false" customHeight="true" outlineLevel="0" collapsed="false">
      <c r="A6" s="7"/>
      <c r="B6" s="6"/>
      <c r="C6" s="14" t="s">
        <v>173</v>
      </c>
      <c r="D6" s="19" t="s">
        <v>174</v>
      </c>
      <c r="E6" s="8" t="n">
        <v>2</v>
      </c>
      <c r="F6" s="18" t="s">
        <v>137</v>
      </c>
      <c r="G6" s="9" t="s">
        <v>175</v>
      </c>
      <c r="H6" s="17"/>
    </row>
    <row r="7" customFormat="false" ht="25.5" hidden="false" customHeight="true" outlineLevel="0" collapsed="false">
      <c r="A7" s="7"/>
      <c r="B7" s="6"/>
      <c r="C7" s="14" t="s">
        <v>176</v>
      </c>
      <c r="D7" s="19" t="s">
        <v>177</v>
      </c>
      <c r="E7" s="8" t="n">
        <v>1.5</v>
      </c>
      <c r="F7" s="18" t="s">
        <v>137</v>
      </c>
      <c r="G7" s="9" t="s">
        <v>178</v>
      </c>
      <c r="H7" s="17"/>
    </row>
    <row r="8" customFormat="false" ht="25.5" hidden="false" customHeight="true" outlineLevel="0" collapsed="false">
      <c r="A8" s="7"/>
      <c r="B8" s="6"/>
      <c r="C8" s="14" t="s">
        <v>179</v>
      </c>
      <c r="D8" s="19" t="s">
        <v>180</v>
      </c>
      <c r="E8" s="8" t="n">
        <v>1</v>
      </c>
      <c r="F8" s="18" t="s">
        <v>137</v>
      </c>
      <c r="G8" s="9" t="s">
        <v>181</v>
      </c>
      <c r="H8" s="17"/>
    </row>
    <row r="9" customFormat="false" ht="25.5" hidden="false" customHeight="true" outlineLevel="0" collapsed="false">
      <c r="A9" s="7"/>
      <c r="B9" s="6"/>
      <c r="C9" s="14" t="s">
        <v>182</v>
      </c>
      <c r="D9" s="19" t="s">
        <v>183</v>
      </c>
      <c r="E9" s="8" t="n">
        <v>1.5</v>
      </c>
      <c r="F9" s="18" t="s">
        <v>137</v>
      </c>
      <c r="G9" s="9" t="s">
        <v>184</v>
      </c>
      <c r="H9" s="17"/>
    </row>
    <row r="10" customFormat="false" ht="25.5" hidden="false" customHeight="true" outlineLevel="0" collapsed="false">
      <c r="A10" s="20"/>
      <c r="B10" s="21"/>
      <c r="C10" s="21" t="s">
        <v>185</v>
      </c>
      <c r="D10" s="22" t="s">
        <v>186</v>
      </c>
      <c r="E10" s="23" t="n">
        <v>0.3</v>
      </c>
      <c r="F10" s="18" t="s">
        <v>137</v>
      </c>
      <c r="G10" s="24" t="s">
        <v>187</v>
      </c>
      <c r="H10" s="17"/>
    </row>
    <row r="11" customFormat="false" ht="25.5" hidden="false" customHeight="true" outlineLevel="0" collapsed="false">
      <c r="A11" s="7" t="n">
        <v>2</v>
      </c>
      <c r="B11" s="6" t="s">
        <v>188</v>
      </c>
      <c r="C11" s="14" t="s">
        <v>189</v>
      </c>
      <c r="D11" s="19" t="s">
        <v>190</v>
      </c>
      <c r="E11" s="8" t="n">
        <v>1</v>
      </c>
      <c r="F11" s="18" t="s">
        <v>137</v>
      </c>
      <c r="G11" s="9" t="s">
        <v>191</v>
      </c>
      <c r="H11" s="17"/>
    </row>
    <row r="12" customFormat="false" ht="25.5" hidden="false" customHeight="true" outlineLevel="0" collapsed="false">
      <c r="A12" s="7"/>
      <c r="B12" s="6"/>
      <c r="C12" s="14" t="s">
        <v>192</v>
      </c>
      <c r="D12" s="19" t="s">
        <v>193</v>
      </c>
      <c r="E12" s="8" t="n">
        <v>3</v>
      </c>
      <c r="F12" s="18" t="s">
        <v>137</v>
      </c>
      <c r="G12" s="9" t="s">
        <v>194</v>
      </c>
      <c r="H12" s="17"/>
    </row>
    <row r="13" customFormat="false" ht="25.5" hidden="false" customHeight="true" outlineLevel="0" collapsed="false">
      <c r="A13" s="7"/>
      <c r="B13" s="6"/>
      <c r="C13" s="14" t="s">
        <v>195</v>
      </c>
      <c r="D13" s="19" t="s">
        <v>196</v>
      </c>
      <c r="E13" s="8" t="n">
        <v>3</v>
      </c>
      <c r="F13" s="18" t="s">
        <v>137</v>
      </c>
      <c r="G13" s="9" t="s">
        <v>197</v>
      </c>
      <c r="H13" s="17"/>
    </row>
    <row r="14" customFormat="false" ht="25.5" hidden="false" customHeight="true" outlineLevel="0" collapsed="false">
      <c r="A14" s="7"/>
      <c r="B14" s="6"/>
      <c r="C14" s="14" t="s">
        <v>198</v>
      </c>
      <c r="D14" s="19" t="s">
        <v>199</v>
      </c>
      <c r="E14" s="8" t="n">
        <v>2</v>
      </c>
      <c r="F14" s="18" t="s">
        <v>137</v>
      </c>
      <c r="G14" s="9" t="s">
        <v>200</v>
      </c>
      <c r="H14" s="17"/>
    </row>
    <row r="15" customFormat="false" ht="25.5" hidden="false" customHeight="true" outlineLevel="0" collapsed="false">
      <c r="A15" s="7"/>
      <c r="B15" s="6"/>
      <c r="C15" s="14" t="s">
        <v>201</v>
      </c>
      <c r="D15" s="19" t="s">
        <v>202</v>
      </c>
      <c r="E15" s="8" t="n">
        <v>2</v>
      </c>
      <c r="F15" s="18" t="s">
        <v>137</v>
      </c>
      <c r="G15" s="9" t="s">
        <v>203</v>
      </c>
      <c r="H15" s="17"/>
    </row>
    <row r="16" customFormat="false" ht="25.5" hidden="false" customHeight="true" outlineLevel="0" collapsed="false">
      <c r="A16" s="20"/>
      <c r="B16" s="21"/>
      <c r="C16" s="21" t="s">
        <v>204</v>
      </c>
      <c r="D16" s="22" t="s">
        <v>205</v>
      </c>
      <c r="E16" s="23" t="n">
        <v>1</v>
      </c>
      <c r="F16" s="18" t="s">
        <v>137</v>
      </c>
      <c r="G16" s="24" t="s">
        <v>206</v>
      </c>
      <c r="H16" s="17"/>
    </row>
    <row r="17" customFormat="false" ht="25.5" hidden="false" customHeight="true" outlineLevel="0" collapsed="false">
      <c r="A17" s="7" t="n">
        <v>3</v>
      </c>
      <c r="B17" s="6" t="s">
        <v>207</v>
      </c>
      <c r="C17" s="14" t="s">
        <v>208</v>
      </c>
      <c r="D17" s="19" t="s">
        <v>209</v>
      </c>
      <c r="E17" s="8" t="n">
        <v>2.5</v>
      </c>
      <c r="F17" s="18" t="s">
        <v>137</v>
      </c>
      <c r="G17" s="9" t="s">
        <v>210</v>
      </c>
      <c r="H17" s="17"/>
    </row>
    <row r="18" customFormat="false" ht="25.5" hidden="false" customHeight="true" outlineLevel="0" collapsed="false">
      <c r="A18" s="7"/>
      <c r="B18" s="6"/>
      <c r="C18" s="14" t="s">
        <v>211</v>
      </c>
      <c r="D18" s="19" t="s">
        <v>212</v>
      </c>
      <c r="E18" s="8" t="n">
        <v>4</v>
      </c>
      <c r="F18" s="18" t="s">
        <v>137</v>
      </c>
      <c r="G18" s="9" t="s">
        <v>213</v>
      </c>
      <c r="H18" s="17"/>
    </row>
    <row r="19" customFormat="false" ht="25.5" hidden="false" customHeight="true" outlineLevel="0" collapsed="false">
      <c r="A19" s="7"/>
      <c r="B19" s="6"/>
      <c r="C19" s="14" t="s">
        <v>214</v>
      </c>
      <c r="D19" s="19" t="s">
        <v>212</v>
      </c>
      <c r="E19" s="8" t="n">
        <v>2</v>
      </c>
      <c r="F19" s="18" t="s">
        <v>137</v>
      </c>
      <c r="G19" s="9" t="s">
        <v>215</v>
      </c>
      <c r="H19" s="17"/>
    </row>
    <row r="20" customFormat="false" ht="25.5" hidden="false" customHeight="true" outlineLevel="0" collapsed="false">
      <c r="A20" s="7"/>
      <c r="B20" s="6"/>
      <c r="C20" s="14" t="s">
        <v>216</v>
      </c>
      <c r="D20" s="19" t="s">
        <v>217</v>
      </c>
      <c r="E20" s="8" t="n">
        <v>2</v>
      </c>
      <c r="F20" s="18" t="s">
        <v>137</v>
      </c>
      <c r="G20" s="9" t="s">
        <v>218</v>
      </c>
      <c r="H20" s="17"/>
    </row>
    <row r="21" customFormat="false" ht="25.5" hidden="false" customHeight="true" outlineLevel="0" collapsed="false">
      <c r="A21" s="7"/>
      <c r="B21" s="6"/>
      <c r="C21" s="14" t="s">
        <v>219</v>
      </c>
      <c r="D21" s="19" t="s">
        <v>220</v>
      </c>
      <c r="E21" s="8" t="n">
        <v>1.5</v>
      </c>
      <c r="F21" s="18" t="s">
        <v>137</v>
      </c>
      <c r="G21" s="9" t="s">
        <v>221</v>
      </c>
      <c r="H21" s="17"/>
    </row>
    <row r="22" customFormat="false" ht="25.5" hidden="false" customHeight="true" outlineLevel="0" collapsed="false">
      <c r="A22" s="20"/>
      <c r="B22" s="21"/>
      <c r="C22" s="21" t="s">
        <v>222</v>
      </c>
      <c r="D22" s="22" t="s">
        <v>223</v>
      </c>
      <c r="E22" s="23" t="n">
        <v>1</v>
      </c>
      <c r="F22" s="18" t="s">
        <v>137</v>
      </c>
      <c r="G22" s="24" t="s">
        <v>224</v>
      </c>
      <c r="H22" s="17"/>
    </row>
    <row r="23" customFormat="false" ht="25.5" hidden="false" customHeight="true" outlineLevel="0" collapsed="false">
      <c r="A23" s="7" t="n">
        <v>4</v>
      </c>
      <c r="B23" s="6" t="s">
        <v>225</v>
      </c>
      <c r="C23" s="14" t="s">
        <v>226</v>
      </c>
      <c r="D23" s="19" t="s">
        <v>227</v>
      </c>
      <c r="E23" s="8" t="n">
        <v>2.5</v>
      </c>
      <c r="F23" s="18" t="s">
        <v>137</v>
      </c>
      <c r="G23" s="9" t="s">
        <v>228</v>
      </c>
      <c r="H23" s="17"/>
    </row>
    <row r="24" customFormat="false" ht="25.5" hidden="false" customHeight="true" outlineLevel="0" collapsed="false">
      <c r="A24" s="7"/>
      <c r="B24" s="6"/>
      <c r="C24" s="14" t="s">
        <v>229</v>
      </c>
      <c r="D24" s="19" t="s">
        <v>230</v>
      </c>
      <c r="E24" s="8" t="n">
        <v>2</v>
      </c>
      <c r="F24" s="18" t="s">
        <v>137</v>
      </c>
      <c r="G24" s="9" t="s">
        <v>231</v>
      </c>
      <c r="H24" s="17"/>
    </row>
    <row r="25" customFormat="false" ht="25.5" hidden="false" customHeight="true" outlineLevel="0" collapsed="false">
      <c r="A25" s="7"/>
      <c r="B25" s="6"/>
      <c r="C25" s="14" t="s">
        <v>232</v>
      </c>
      <c r="D25" s="19" t="s">
        <v>233</v>
      </c>
      <c r="E25" s="8" t="n">
        <v>2</v>
      </c>
      <c r="F25" s="18" t="s">
        <v>137</v>
      </c>
      <c r="G25" s="9" t="s">
        <v>234</v>
      </c>
      <c r="H25" s="17"/>
    </row>
    <row r="26" customFormat="false" ht="25.5" hidden="false" customHeight="true" outlineLevel="0" collapsed="false">
      <c r="A26" s="7"/>
      <c r="B26" s="6"/>
      <c r="C26" s="14" t="s">
        <v>235</v>
      </c>
      <c r="D26" s="19" t="s">
        <v>236</v>
      </c>
      <c r="E26" s="8" t="n">
        <v>1.5</v>
      </c>
      <c r="F26" s="18" t="s">
        <v>137</v>
      </c>
      <c r="G26" s="9" t="s">
        <v>237</v>
      </c>
      <c r="H26" s="17"/>
    </row>
    <row r="27" customFormat="false" ht="25.5" hidden="false" customHeight="true" outlineLevel="0" collapsed="false">
      <c r="A27" s="7"/>
      <c r="B27" s="6"/>
      <c r="C27" s="14" t="s">
        <v>238</v>
      </c>
      <c r="D27" s="19" t="s">
        <v>239</v>
      </c>
      <c r="E27" s="8" t="n">
        <v>2</v>
      </c>
      <c r="F27" s="18" t="s">
        <v>137</v>
      </c>
      <c r="G27" s="9" t="s">
        <v>240</v>
      </c>
      <c r="H27" s="17"/>
    </row>
    <row r="28" customFormat="false" ht="25.5" hidden="false" customHeight="true" outlineLevel="0" collapsed="false">
      <c r="A28" s="20"/>
      <c r="B28" s="21"/>
      <c r="C28" s="21" t="s">
        <v>241</v>
      </c>
      <c r="D28" s="22" t="s">
        <v>242</v>
      </c>
      <c r="E28" s="23" t="n">
        <v>1</v>
      </c>
      <c r="F28" s="18" t="s">
        <v>137</v>
      </c>
      <c r="G28" s="24" t="s">
        <v>243</v>
      </c>
      <c r="H28" s="17"/>
    </row>
    <row r="29" customFormat="false" ht="25.5" hidden="false" customHeight="true" outlineLevel="0" collapsed="false">
      <c r="A29" s="7" t="n">
        <v>5</v>
      </c>
      <c r="B29" s="6" t="s">
        <v>244</v>
      </c>
      <c r="C29" s="14" t="s">
        <v>245</v>
      </c>
      <c r="D29" s="19" t="s">
        <v>246</v>
      </c>
      <c r="E29" s="8" t="n">
        <v>1.5</v>
      </c>
      <c r="F29" s="18" t="s">
        <v>137</v>
      </c>
      <c r="G29" s="9" t="s">
        <v>247</v>
      </c>
      <c r="H29" s="17"/>
    </row>
    <row r="30" customFormat="false" ht="25.5" hidden="false" customHeight="true" outlineLevel="0" collapsed="false">
      <c r="A30" s="7"/>
      <c r="B30" s="6"/>
      <c r="C30" s="14" t="s">
        <v>248</v>
      </c>
      <c r="D30" s="19" t="s">
        <v>249</v>
      </c>
      <c r="E30" s="8" t="n">
        <v>3</v>
      </c>
      <c r="F30" s="18" t="s">
        <v>137</v>
      </c>
      <c r="G30" s="9" t="s">
        <v>250</v>
      </c>
      <c r="H30" s="17"/>
    </row>
    <row r="31" customFormat="false" ht="25.5" hidden="false" customHeight="true" outlineLevel="0" collapsed="false">
      <c r="A31" s="7"/>
      <c r="B31" s="6"/>
      <c r="C31" s="14" t="s">
        <v>251</v>
      </c>
      <c r="D31" s="19" t="s">
        <v>252</v>
      </c>
      <c r="E31" s="8" t="n">
        <v>2</v>
      </c>
      <c r="F31" s="18" t="s">
        <v>137</v>
      </c>
      <c r="G31" s="9" t="s">
        <v>253</v>
      </c>
      <c r="H31" s="17"/>
    </row>
    <row r="32" customFormat="false" ht="25.5" hidden="false" customHeight="true" outlineLevel="0" collapsed="false">
      <c r="A32" s="7"/>
      <c r="B32" s="6"/>
      <c r="C32" s="14" t="s">
        <v>254</v>
      </c>
      <c r="D32" s="19" t="s">
        <v>255</v>
      </c>
      <c r="E32" s="8" t="n">
        <v>0.5</v>
      </c>
      <c r="F32" s="18" t="s">
        <v>137</v>
      </c>
      <c r="G32" s="9" t="s">
        <v>256</v>
      </c>
      <c r="H32" s="17"/>
    </row>
    <row r="33" customFormat="false" ht="25.5" hidden="false" customHeight="true" outlineLevel="0" collapsed="false">
      <c r="A33" s="20"/>
      <c r="B33" s="21"/>
      <c r="C33" s="21" t="s">
        <v>257</v>
      </c>
      <c r="D33" s="22" t="s">
        <v>258</v>
      </c>
      <c r="E33" s="23" t="n">
        <v>4</v>
      </c>
      <c r="F33" s="18" t="s">
        <v>137</v>
      </c>
      <c r="G33" s="24" t="s">
        <v>259</v>
      </c>
      <c r="H33" s="17"/>
    </row>
    <row r="34" customFormat="false" ht="25.5" hidden="false" customHeight="true" outlineLevel="0" collapsed="false">
      <c r="A34" s="7" t="n">
        <v>6</v>
      </c>
      <c r="B34" s="6" t="s">
        <v>260</v>
      </c>
      <c r="C34" s="14" t="s">
        <v>261</v>
      </c>
      <c r="D34" s="19" t="s">
        <v>258</v>
      </c>
      <c r="E34" s="8" t="n">
        <v>0.5</v>
      </c>
      <c r="F34" s="18" t="s">
        <v>137</v>
      </c>
      <c r="G34" s="9" t="s">
        <v>262</v>
      </c>
      <c r="H34" s="17"/>
    </row>
    <row r="35" customFormat="false" ht="25.5" hidden="false" customHeight="true" outlineLevel="0" collapsed="false">
      <c r="A35" s="7"/>
      <c r="B35" s="6"/>
      <c r="C35" s="14" t="s">
        <v>263</v>
      </c>
      <c r="D35" s="19" t="s">
        <v>264</v>
      </c>
      <c r="E35" s="8" t="n">
        <v>0.5</v>
      </c>
      <c r="F35" s="18" t="s">
        <v>137</v>
      </c>
      <c r="G35" s="9" t="s">
        <v>265</v>
      </c>
      <c r="H35" s="17"/>
    </row>
    <row r="36" customFormat="false" ht="25.5" hidden="false" customHeight="true" outlineLevel="0" collapsed="false">
      <c r="A36" s="7"/>
      <c r="B36" s="6"/>
      <c r="C36" s="14" t="s">
        <v>266</v>
      </c>
      <c r="D36" s="19" t="s">
        <v>255</v>
      </c>
      <c r="E36" s="8" t="n">
        <v>0.2</v>
      </c>
      <c r="F36" s="18" t="s">
        <v>137</v>
      </c>
      <c r="G36" s="9" t="s">
        <v>267</v>
      </c>
      <c r="H36" s="17"/>
    </row>
    <row r="37" customFormat="false" ht="25.5" hidden="false" customHeight="true" outlineLevel="0" collapsed="false">
      <c r="A37" s="7"/>
      <c r="B37" s="6"/>
      <c r="C37" s="14" t="s">
        <v>268</v>
      </c>
      <c r="D37" s="19" t="s">
        <v>269</v>
      </c>
      <c r="E37" s="8" t="n">
        <v>1</v>
      </c>
      <c r="F37" s="18" t="s">
        <v>137</v>
      </c>
      <c r="G37" s="9" t="s">
        <v>270</v>
      </c>
      <c r="H37" s="17"/>
    </row>
    <row r="38" customFormat="false" ht="25.5" hidden="false" customHeight="true" outlineLevel="0" collapsed="false">
      <c r="A38" s="7"/>
      <c r="B38" s="6"/>
      <c r="C38" s="14" t="s">
        <v>271</v>
      </c>
      <c r="D38" s="19" t="s">
        <v>272</v>
      </c>
      <c r="E38" s="8" t="n">
        <v>1.5</v>
      </c>
      <c r="F38" s="18" t="s">
        <v>137</v>
      </c>
      <c r="G38" s="9" t="s">
        <v>273</v>
      </c>
      <c r="H38" s="17"/>
    </row>
    <row r="39" customFormat="false" ht="25.5" hidden="false" customHeight="true" outlineLevel="0" collapsed="false">
      <c r="A39" s="20"/>
      <c r="B39" s="21"/>
      <c r="C39" s="21" t="s">
        <v>274</v>
      </c>
      <c r="D39" s="22" t="s">
        <v>258</v>
      </c>
      <c r="E39" s="23" t="n">
        <v>0</v>
      </c>
      <c r="F39" s="18" t="s">
        <v>137</v>
      </c>
      <c r="G39" s="24" t="s">
        <v>275</v>
      </c>
      <c r="H39" s="17"/>
    </row>
    <row r="40" customFormat="false" ht="25.5" hidden="false" customHeight="true" outlineLevel="0" collapsed="false">
      <c r="A40" s="7" t="n">
        <v>7</v>
      </c>
      <c r="B40" s="6" t="s">
        <v>276</v>
      </c>
      <c r="C40" s="14" t="s">
        <v>277</v>
      </c>
      <c r="D40" s="19" t="s">
        <v>220</v>
      </c>
      <c r="E40" s="8" t="n">
        <v>1.5</v>
      </c>
      <c r="F40" s="18" t="s">
        <v>137</v>
      </c>
      <c r="G40" s="9" t="s">
        <v>278</v>
      </c>
      <c r="H40" s="17"/>
    </row>
    <row r="41" customFormat="false" ht="25.5" hidden="false" customHeight="true" outlineLevel="0" collapsed="false">
      <c r="A41" s="7"/>
      <c r="B41" s="6"/>
      <c r="C41" s="14" t="s">
        <v>279</v>
      </c>
      <c r="D41" s="19" t="s">
        <v>174</v>
      </c>
      <c r="E41" s="8" t="n">
        <v>0.5</v>
      </c>
      <c r="F41" s="18" t="s">
        <v>137</v>
      </c>
      <c r="G41" s="9" t="s">
        <v>280</v>
      </c>
      <c r="H41" s="17"/>
    </row>
    <row r="42" customFormat="false" ht="25.5" hidden="false" customHeight="true" outlineLevel="0" collapsed="false">
      <c r="A42" s="7"/>
      <c r="B42" s="6"/>
      <c r="C42" s="14" t="s">
        <v>281</v>
      </c>
      <c r="D42" s="19" t="s">
        <v>205</v>
      </c>
      <c r="E42" s="8" t="n">
        <v>1</v>
      </c>
      <c r="F42" s="18" t="s">
        <v>137</v>
      </c>
      <c r="G42" s="9" t="s">
        <v>282</v>
      </c>
      <c r="H42" s="17"/>
    </row>
    <row r="43" customFormat="false" ht="25.5" hidden="false" customHeight="true" outlineLevel="0" collapsed="false">
      <c r="A43" s="20"/>
      <c r="B43" s="21"/>
      <c r="C43" s="21" t="s">
        <v>283</v>
      </c>
      <c r="D43" s="22" t="s">
        <v>186</v>
      </c>
      <c r="E43" s="23" t="n">
        <v>1</v>
      </c>
      <c r="F43" s="18" t="s">
        <v>137</v>
      </c>
      <c r="G43" s="24" t="s">
        <v>284</v>
      </c>
      <c r="H43" s="17"/>
    </row>
    <row r="45" customFormat="false" ht="15" hidden="false" customHeight="false" outlineLevel="0" collapsed="false">
      <c r="C45" s="15" t="s">
        <v>285</v>
      </c>
      <c r="E45" s="25" t="n">
        <f aca="false">SUM(E4:E43)</f>
        <v>61.7</v>
      </c>
    </row>
    <row r="46" customFormat="false" ht="15" hidden="false" customHeight="false" outlineLevel="0" collapsed="false">
      <c r="C46" s="15" t="s">
        <v>286</v>
      </c>
      <c r="E46" s="25" t="n">
        <f aca="false">COUNTIF(F4:F43,"Selesai")</f>
        <v>0</v>
      </c>
    </row>
    <row r="47" customFormat="false" ht="15" hidden="false" customHeight="false" outlineLevel="0" collapsed="false">
      <c r="C47" s="15" t="s">
        <v>287</v>
      </c>
      <c r="E47" s="25" t="n">
        <f aca="false">COUNTA(C4:C43)</f>
        <v>40</v>
      </c>
    </row>
  </sheetData>
  <dataValidations count="1">
    <dataValidation allowBlank="true" errorStyle="stop" operator="between" showDropDown="false" showErrorMessage="false" showInputMessage="false" sqref="F4:F43" type="list">
      <formula1>"Belum,Jalan,Selesai,Blocked,N/A"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60"/>
    <col collapsed="false" customWidth="true" hidden="false" outlineLevel="0" max="6" min="5" style="0" width="11"/>
    <col collapsed="false" customWidth="true" hidden="false" outlineLevel="0" max="7" min="7" style="0" width="26"/>
  </cols>
  <sheetData>
    <row r="1" customFormat="false" ht="21.75" hidden="false" customHeight="true" outlineLevel="0" collapsed="false">
      <c r="A1" s="1" t="s">
        <v>288</v>
      </c>
    </row>
    <row r="2" customFormat="false" ht="13.5" hidden="false" customHeight="true" outlineLevel="0" collapsed="false">
      <c r="A2" s="2" t="s">
        <v>289</v>
      </c>
    </row>
    <row r="3" customFormat="false" ht="30" hidden="false" customHeight="true" outlineLevel="0" collapsed="false">
      <c r="A3" s="3" t="s">
        <v>290</v>
      </c>
      <c r="B3" s="3" t="s">
        <v>291</v>
      </c>
      <c r="C3" s="3" t="s">
        <v>125</v>
      </c>
      <c r="D3" s="3" t="s">
        <v>292</v>
      </c>
      <c r="E3" s="3" t="s">
        <v>131</v>
      </c>
      <c r="F3" s="3" t="s">
        <v>293</v>
      </c>
      <c r="G3" s="3" t="s">
        <v>132</v>
      </c>
    </row>
    <row r="4" customFormat="false" ht="21.75" hidden="false" customHeight="true" outlineLevel="0" collapsed="false">
      <c r="A4" s="19" t="s">
        <v>174</v>
      </c>
      <c r="B4" s="14" t="s">
        <v>294</v>
      </c>
      <c r="C4" s="8" t="n">
        <v>1</v>
      </c>
      <c r="D4" s="14" t="s">
        <v>295</v>
      </c>
      <c r="E4" s="18" t="s">
        <v>296</v>
      </c>
      <c r="F4" s="18" t="s">
        <v>137</v>
      </c>
      <c r="G4" s="17"/>
    </row>
    <row r="5" customFormat="false" ht="21.75" hidden="false" customHeight="true" outlineLevel="0" collapsed="false">
      <c r="A5" s="19" t="s">
        <v>177</v>
      </c>
      <c r="B5" s="14" t="s">
        <v>294</v>
      </c>
      <c r="C5" s="8" t="n">
        <v>1</v>
      </c>
      <c r="D5" s="14" t="s">
        <v>297</v>
      </c>
      <c r="E5" s="18" t="s">
        <v>137</v>
      </c>
      <c r="F5" s="18" t="s">
        <v>137</v>
      </c>
      <c r="G5" s="17"/>
    </row>
    <row r="6" customFormat="false" ht="21.75" hidden="false" customHeight="true" outlineLevel="0" collapsed="false">
      <c r="A6" s="19" t="s">
        <v>298</v>
      </c>
      <c r="B6" s="14" t="s">
        <v>294</v>
      </c>
      <c r="C6" s="8" t="n">
        <v>1</v>
      </c>
      <c r="D6" s="14" t="s">
        <v>299</v>
      </c>
      <c r="E6" s="18" t="s">
        <v>137</v>
      </c>
      <c r="F6" s="18" t="s">
        <v>137</v>
      </c>
      <c r="G6" s="17"/>
    </row>
    <row r="7" customFormat="false" ht="21.75" hidden="false" customHeight="true" outlineLevel="0" collapsed="false">
      <c r="A7" s="19" t="s">
        <v>180</v>
      </c>
      <c r="B7" s="14" t="s">
        <v>300</v>
      </c>
      <c r="C7" s="8" t="n">
        <v>1</v>
      </c>
      <c r="D7" s="14" t="s">
        <v>301</v>
      </c>
      <c r="E7" s="18" t="s">
        <v>296</v>
      </c>
      <c r="F7" s="18" t="s">
        <v>137</v>
      </c>
      <c r="G7" s="17"/>
    </row>
    <row r="8" customFormat="false" ht="21.75" hidden="false" customHeight="true" outlineLevel="0" collapsed="false">
      <c r="A8" s="19" t="s">
        <v>302</v>
      </c>
      <c r="B8" s="14" t="s">
        <v>300</v>
      </c>
      <c r="C8" s="8" t="n">
        <v>1</v>
      </c>
      <c r="D8" s="14" t="s">
        <v>303</v>
      </c>
      <c r="E8" s="18" t="s">
        <v>296</v>
      </c>
      <c r="F8" s="18" t="s">
        <v>137</v>
      </c>
      <c r="G8" s="17"/>
    </row>
    <row r="9" customFormat="false" ht="21.75" hidden="false" customHeight="true" outlineLevel="0" collapsed="false">
      <c r="A9" s="19" t="s">
        <v>217</v>
      </c>
      <c r="B9" s="14" t="s">
        <v>300</v>
      </c>
      <c r="C9" s="8" t="n">
        <v>1</v>
      </c>
      <c r="D9" s="14" t="s">
        <v>304</v>
      </c>
      <c r="E9" s="18" t="s">
        <v>137</v>
      </c>
      <c r="F9" s="18" t="s">
        <v>137</v>
      </c>
      <c r="G9" s="17"/>
    </row>
    <row r="10" customFormat="false" ht="21.75" hidden="false" customHeight="true" outlineLevel="0" collapsed="false">
      <c r="A10" s="19" t="s">
        <v>190</v>
      </c>
      <c r="B10" s="14" t="s">
        <v>305</v>
      </c>
      <c r="C10" s="8" t="n">
        <v>1</v>
      </c>
      <c r="D10" s="14" t="s">
        <v>306</v>
      </c>
      <c r="E10" s="18" t="s">
        <v>137</v>
      </c>
      <c r="F10" s="18" t="s">
        <v>137</v>
      </c>
      <c r="G10" s="17"/>
    </row>
    <row r="11" customFormat="false" ht="21.75" hidden="false" customHeight="true" outlineLevel="0" collapsed="false">
      <c r="A11" s="19" t="s">
        <v>193</v>
      </c>
      <c r="B11" s="14" t="s">
        <v>305</v>
      </c>
      <c r="C11" s="8" t="n">
        <v>1</v>
      </c>
      <c r="D11" s="14" t="s">
        <v>307</v>
      </c>
      <c r="E11" s="18" t="s">
        <v>137</v>
      </c>
      <c r="F11" s="18" t="s">
        <v>137</v>
      </c>
      <c r="G11" s="17"/>
    </row>
    <row r="12" customFormat="false" ht="21.75" hidden="false" customHeight="true" outlineLevel="0" collapsed="false">
      <c r="A12" s="19" t="s">
        <v>196</v>
      </c>
      <c r="B12" s="14" t="s">
        <v>308</v>
      </c>
      <c r="C12" s="8" t="n">
        <v>1</v>
      </c>
      <c r="D12" s="14" t="s">
        <v>309</v>
      </c>
      <c r="E12" s="18" t="s">
        <v>137</v>
      </c>
      <c r="F12" s="18" t="s">
        <v>137</v>
      </c>
      <c r="G12" s="17"/>
    </row>
    <row r="13" customFormat="false" ht="21.75" hidden="false" customHeight="true" outlineLevel="0" collapsed="false">
      <c r="A13" s="19" t="s">
        <v>199</v>
      </c>
      <c r="B13" s="14" t="s">
        <v>308</v>
      </c>
      <c r="C13" s="8" t="n">
        <v>1</v>
      </c>
      <c r="D13" s="14" t="s">
        <v>310</v>
      </c>
      <c r="E13" s="18" t="s">
        <v>137</v>
      </c>
      <c r="F13" s="18" t="s">
        <v>137</v>
      </c>
      <c r="G13" s="17"/>
    </row>
    <row r="14" customFormat="false" ht="21.75" hidden="false" customHeight="true" outlineLevel="0" collapsed="false">
      <c r="A14" s="19" t="s">
        <v>202</v>
      </c>
      <c r="B14" s="14" t="s">
        <v>308</v>
      </c>
      <c r="C14" s="8" t="n">
        <v>1</v>
      </c>
      <c r="D14" s="14" t="s">
        <v>311</v>
      </c>
      <c r="E14" s="18" t="s">
        <v>137</v>
      </c>
      <c r="F14" s="18" t="s">
        <v>137</v>
      </c>
      <c r="G14" s="17"/>
    </row>
    <row r="15" customFormat="false" ht="21.75" hidden="false" customHeight="true" outlineLevel="0" collapsed="false">
      <c r="A15" s="19" t="s">
        <v>209</v>
      </c>
      <c r="B15" s="14" t="s">
        <v>312</v>
      </c>
      <c r="C15" s="8" t="n">
        <v>1</v>
      </c>
      <c r="D15" s="14" t="s">
        <v>313</v>
      </c>
      <c r="E15" s="18" t="s">
        <v>137</v>
      </c>
      <c r="F15" s="18" t="s">
        <v>137</v>
      </c>
      <c r="G15" s="17"/>
    </row>
    <row r="16" customFormat="false" ht="21.75" hidden="false" customHeight="true" outlineLevel="0" collapsed="false">
      <c r="A16" s="19" t="s">
        <v>212</v>
      </c>
      <c r="B16" s="14" t="s">
        <v>312</v>
      </c>
      <c r="C16" s="8" t="n">
        <v>1</v>
      </c>
      <c r="D16" s="14" t="s">
        <v>314</v>
      </c>
      <c r="E16" s="18" t="s">
        <v>137</v>
      </c>
      <c r="F16" s="18" t="s">
        <v>137</v>
      </c>
      <c r="G16" s="17"/>
    </row>
    <row r="17" customFormat="false" ht="21.75" hidden="false" customHeight="true" outlineLevel="0" collapsed="false">
      <c r="A17" s="19" t="s">
        <v>233</v>
      </c>
      <c r="B17" s="14" t="s">
        <v>312</v>
      </c>
      <c r="C17" s="8" t="n">
        <v>1</v>
      </c>
      <c r="D17" s="14" t="s">
        <v>315</v>
      </c>
      <c r="E17" s="18" t="s">
        <v>137</v>
      </c>
      <c r="F17" s="18" t="s">
        <v>137</v>
      </c>
      <c r="G17" s="17"/>
    </row>
    <row r="18" customFormat="false" ht="21.75" hidden="false" customHeight="true" outlineLevel="0" collapsed="false">
      <c r="A18" s="19" t="s">
        <v>220</v>
      </c>
      <c r="B18" s="14" t="s">
        <v>312</v>
      </c>
      <c r="C18" s="8" t="n">
        <v>1</v>
      </c>
      <c r="D18" s="14" t="s">
        <v>316</v>
      </c>
      <c r="E18" s="18" t="s">
        <v>137</v>
      </c>
      <c r="F18" s="18" t="s">
        <v>137</v>
      </c>
      <c r="G18" s="17"/>
    </row>
    <row r="19" customFormat="false" ht="21.75" hidden="false" customHeight="true" outlineLevel="0" collapsed="false">
      <c r="A19" s="19" t="s">
        <v>227</v>
      </c>
      <c r="B19" s="14" t="s">
        <v>317</v>
      </c>
      <c r="C19" s="8" t="n">
        <v>1</v>
      </c>
      <c r="D19" s="14" t="s">
        <v>318</v>
      </c>
      <c r="E19" s="18" t="s">
        <v>137</v>
      </c>
      <c r="F19" s="18" t="s">
        <v>137</v>
      </c>
      <c r="G19" s="17"/>
    </row>
    <row r="20" customFormat="false" ht="21.75" hidden="false" customHeight="true" outlineLevel="0" collapsed="false">
      <c r="A20" s="19" t="s">
        <v>230</v>
      </c>
      <c r="B20" s="14" t="s">
        <v>317</v>
      </c>
      <c r="C20" s="8" t="n">
        <v>1</v>
      </c>
      <c r="D20" s="14" t="s">
        <v>319</v>
      </c>
      <c r="E20" s="18" t="s">
        <v>137</v>
      </c>
      <c r="F20" s="18" t="s">
        <v>137</v>
      </c>
      <c r="G20" s="17"/>
    </row>
    <row r="21" customFormat="false" ht="21.75" hidden="false" customHeight="true" outlineLevel="0" collapsed="false">
      <c r="A21" s="19" t="s">
        <v>246</v>
      </c>
      <c r="B21" s="14" t="s">
        <v>320</v>
      </c>
      <c r="C21" s="8" t="n">
        <v>1</v>
      </c>
      <c r="D21" s="14" t="s">
        <v>321</v>
      </c>
      <c r="E21" s="18" t="s">
        <v>137</v>
      </c>
      <c r="F21" s="18" t="s">
        <v>137</v>
      </c>
      <c r="G21" s="17"/>
    </row>
    <row r="22" customFormat="false" ht="21.75" hidden="false" customHeight="true" outlineLevel="0" collapsed="false">
      <c r="A22" s="19" t="s">
        <v>236</v>
      </c>
      <c r="B22" s="14" t="s">
        <v>320</v>
      </c>
      <c r="C22" s="8" t="n">
        <v>1</v>
      </c>
      <c r="D22" s="14" t="s">
        <v>322</v>
      </c>
      <c r="E22" s="18" t="s">
        <v>137</v>
      </c>
      <c r="F22" s="18" t="s">
        <v>137</v>
      </c>
      <c r="G22" s="17"/>
    </row>
    <row r="23" customFormat="false" ht="21.75" hidden="false" customHeight="true" outlineLevel="0" collapsed="false">
      <c r="A23" s="19" t="s">
        <v>239</v>
      </c>
      <c r="B23" s="14" t="s">
        <v>320</v>
      </c>
      <c r="C23" s="8" t="n">
        <v>1</v>
      </c>
      <c r="D23" s="14" t="s">
        <v>323</v>
      </c>
      <c r="E23" s="18" t="s">
        <v>137</v>
      </c>
      <c r="F23" s="18" t="s">
        <v>137</v>
      </c>
      <c r="G23" s="17"/>
    </row>
    <row r="24" customFormat="false" ht="21.75" hidden="false" customHeight="true" outlineLevel="0" collapsed="false">
      <c r="A24" s="19" t="s">
        <v>249</v>
      </c>
      <c r="B24" s="14" t="s">
        <v>324</v>
      </c>
      <c r="C24" s="8" t="n">
        <v>1</v>
      </c>
      <c r="D24" s="14" t="s">
        <v>325</v>
      </c>
      <c r="E24" s="18" t="s">
        <v>137</v>
      </c>
      <c r="F24" s="18" t="s">
        <v>137</v>
      </c>
      <c r="G24" s="17"/>
    </row>
    <row r="25" customFormat="false" ht="21.75" hidden="false" customHeight="true" outlineLevel="0" collapsed="false">
      <c r="A25" s="19" t="s">
        <v>269</v>
      </c>
      <c r="B25" s="14" t="s">
        <v>324</v>
      </c>
      <c r="C25" s="8" t="n">
        <v>1</v>
      </c>
      <c r="D25" s="14" t="s">
        <v>326</v>
      </c>
      <c r="E25" s="18" t="s">
        <v>137</v>
      </c>
      <c r="F25" s="18" t="s">
        <v>137</v>
      </c>
      <c r="G25" s="17"/>
    </row>
    <row r="26" customFormat="false" ht="21.75" hidden="false" customHeight="true" outlineLevel="0" collapsed="false">
      <c r="A26" s="19" t="s">
        <v>183</v>
      </c>
      <c r="B26" s="14" t="s">
        <v>327</v>
      </c>
      <c r="C26" s="8" t="n">
        <v>1</v>
      </c>
      <c r="D26" s="14" t="s">
        <v>328</v>
      </c>
      <c r="E26" s="18" t="s">
        <v>296</v>
      </c>
      <c r="F26" s="18" t="s">
        <v>137</v>
      </c>
      <c r="G26" s="17"/>
    </row>
    <row r="27" customFormat="false" ht="21.75" hidden="false" customHeight="true" outlineLevel="0" collapsed="false">
      <c r="A27" s="19" t="s">
        <v>205</v>
      </c>
      <c r="B27" s="14" t="s">
        <v>327</v>
      </c>
      <c r="C27" s="8" t="n">
        <v>1</v>
      </c>
      <c r="D27" s="14" t="s">
        <v>329</v>
      </c>
      <c r="E27" s="18" t="s">
        <v>137</v>
      </c>
      <c r="F27" s="18" t="s">
        <v>137</v>
      </c>
      <c r="G27" s="17"/>
    </row>
    <row r="28" customFormat="false" ht="21.75" hidden="false" customHeight="true" outlineLevel="0" collapsed="false">
      <c r="A28" s="19" t="s">
        <v>330</v>
      </c>
      <c r="B28" s="14" t="s">
        <v>327</v>
      </c>
      <c r="C28" s="8" t="n">
        <v>1</v>
      </c>
      <c r="D28" s="14" t="s">
        <v>331</v>
      </c>
      <c r="E28" s="18" t="s">
        <v>137</v>
      </c>
      <c r="F28" s="18" t="s">
        <v>137</v>
      </c>
      <c r="G28" s="17"/>
    </row>
    <row r="29" customFormat="false" ht="21.75" hidden="false" customHeight="true" outlineLevel="0" collapsed="false">
      <c r="A29" s="19" t="s">
        <v>272</v>
      </c>
      <c r="B29" s="14" t="s">
        <v>327</v>
      </c>
      <c r="C29" s="8" t="n">
        <v>1</v>
      </c>
      <c r="D29" s="14" t="s">
        <v>332</v>
      </c>
      <c r="E29" s="18" t="s">
        <v>137</v>
      </c>
      <c r="F29" s="18" t="s">
        <v>137</v>
      </c>
      <c r="G29" s="17"/>
    </row>
    <row r="30" customFormat="false" ht="21.75" hidden="false" customHeight="true" outlineLevel="0" collapsed="false">
      <c r="A30" s="19" t="s">
        <v>333</v>
      </c>
      <c r="B30" s="14" t="s">
        <v>334</v>
      </c>
      <c r="C30" s="8" t="n">
        <v>1</v>
      </c>
      <c r="D30" s="14" t="s">
        <v>335</v>
      </c>
      <c r="E30" s="18" t="s">
        <v>137</v>
      </c>
      <c r="F30" s="18" t="s">
        <v>137</v>
      </c>
      <c r="G30" s="17"/>
    </row>
    <row r="31" customFormat="false" ht="21.75" hidden="false" customHeight="true" outlineLevel="0" collapsed="false">
      <c r="A31" s="19" t="s">
        <v>242</v>
      </c>
      <c r="B31" s="14" t="s">
        <v>334</v>
      </c>
      <c r="C31" s="8" t="n">
        <v>1</v>
      </c>
      <c r="D31" s="14" t="s">
        <v>336</v>
      </c>
      <c r="E31" s="18" t="s">
        <v>137</v>
      </c>
      <c r="F31" s="18" t="s">
        <v>137</v>
      </c>
      <c r="G31" s="17"/>
    </row>
    <row r="32" customFormat="false" ht="21.75" hidden="false" customHeight="true" outlineLevel="0" collapsed="false">
      <c r="A32" s="19" t="s">
        <v>223</v>
      </c>
      <c r="B32" s="14" t="s">
        <v>334</v>
      </c>
      <c r="C32" s="8" t="n">
        <v>1</v>
      </c>
      <c r="D32" s="14" t="s">
        <v>337</v>
      </c>
      <c r="E32" s="18" t="s">
        <v>137</v>
      </c>
      <c r="F32" s="18" t="s">
        <v>137</v>
      </c>
      <c r="G32" s="17"/>
    </row>
    <row r="33" customFormat="false" ht="21.75" hidden="false" customHeight="true" outlineLevel="0" collapsed="false">
      <c r="A33" s="19" t="s">
        <v>338</v>
      </c>
      <c r="B33" s="14" t="s">
        <v>312</v>
      </c>
      <c r="C33" s="8" t="n">
        <v>2</v>
      </c>
      <c r="D33" s="14" t="s">
        <v>339</v>
      </c>
      <c r="E33" s="18" t="s">
        <v>137</v>
      </c>
      <c r="F33" s="18" t="s">
        <v>137</v>
      </c>
      <c r="G33" s="17"/>
    </row>
    <row r="34" customFormat="false" ht="21.75" hidden="false" customHeight="true" outlineLevel="0" collapsed="false">
      <c r="A34" s="19" t="s">
        <v>340</v>
      </c>
      <c r="B34" s="14" t="s">
        <v>341</v>
      </c>
      <c r="C34" s="8" t="n">
        <v>2</v>
      </c>
      <c r="D34" s="14" t="s">
        <v>342</v>
      </c>
      <c r="E34" s="18" t="s">
        <v>137</v>
      </c>
      <c r="F34" s="18" t="s">
        <v>137</v>
      </c>
      <c r="G34" s="17"/>
    </row>
    <row r="35" customFormat="false" ht="21.75" hidden="false" customHeight="true" outlineLevel="0" collapsed="false">
      <c r="A35" s="19" t="s">
        <v>343</v>
      </c>
      <c r="B35" s="14" t="s">
        <v>320</v>
      </c>
      <c r="C35" s="8" t="n">
        <v>3</v>
      </c>
      <c r="D35" s="14" t="s">
        <v>344</v>
      </c>
      <c r="E35" s="18" t="s">
        <v>137</v>
      </c>
      <c r="F35" s="18" t="s">
        <v>137</v>
      </c>
      <c r="G35" s="17"/>
    </row>
    <row r="36" customFormat="false" ht="21.75" hidden="false" customHeight="true" outlineLevel="0" collapsed="false">
      <c r="A36" s="19" t="s">
        <v>345</v>
      </c>
      <c r="B36" s="14" t="s">
        <v>320</v>
      </c>
      <c r="C36" s="8" t="n">
        <v>3</v>
      </c>
      <c r="D36" s="14" t="s">
        <v>346</v>
      </c>
      <c r="E36" s="18" t="s">
        <v>137</v>
      </c>
      <c r="F36" s="18" t="s">
        <v>137</v>
      </c>
      <c r="G36" s="17"/>
    </row>
    <row r="37" customFormat="false" ht="21.75" hidden="false" customHeight="true" outlineLevel="0" collapsed="false">
      <c r="A37" s="19" t="s">
        <v>347</v>
      </c>
      <c r="B37" s="14" t="s">
        <v>341</v>
      </c>
      <c r="C37" s="8" t="n">
        <v>4</v>
      </c>
      <c r="D37" s="14" t="s">
        <v>348</v>
      </c>
      <c r="E37" s="18" t="s">
        <v>137</v>
      </c>
      <c r="F37" s="18" t="s">
        <v>137</v>
      </c>
      <c r="G37" s="17"/>
    </row>
    <row r="38" customFormat="false" ht="21.75" hidden="false" customHeight="true" outlineLevel="0" collapsed="false">
      <c r="A38" s="19" t="s">
        <v>349</v>
      </c>
      <c r="B38" s="14" t="s">
        <v>350</v>
      </c>
      <c r="C38" s="8" t="n">
        <v>5</v>
      </c>
      <c r="D38" s="14" t="s">
        <v>351</v>
      </c>
      <c r="E38" s="18" t="s">
        <v>137</v>
      </c>
      <c r="F38" s="18" t="s">
        <v>137</v>
      </c>
      <c r="G38" s="17"/>
    </row>
    <row r="39" customFormat="false" ht="21.75" hidden="false" customHeight="true" outlineLevel="0" collapsed="false">
      <c r="A39" s="19" t="s">
        <v>352</v>
      </c>
      <c r="B39" s="14" t="s">
        <v>350</v>
      </c>
      <c r="C39" s="8" t="n">
        <v>5</v>
      </c>
      <c r="D39" s="14" t="s">
        <v>353</v>
      </c>
      <c r="E39" s="18" t="s">
        <v>137</v>
      </c>
      <c r="F39" s="18" t="s">
        <v>137</v>
      </c>
      <c r="G39" s="17"/>
    </row>
    <row r="40" customFormat="false" ht="21.75" hidden="false" customHeight="true" outlineLevel="0" collapsed="false">
      <c r="A40" s="19" t="s">
        <v>354</v>
      </c>
      <c r="B40" s="14" t="s">
        <v>350</v>
      </c>
      <c r="C40" s="8" t="n">
        <v>5</v>
      </c>
      <c r="D40" s="14" t="s">
        <v>355</v>
      </c>
      <c r="E40" s="18" t="s">
        <v>137</v>
      </c>
      <c r="F40" s="18" t="s">
        <v>137</v>
      </c>
      <c r="G40" s="17"/>
    </row>
    <row r="41" customFormat="false" ht="21.75" hidden="false" customHeight="true" outlineLevel="0" collapsed="false">
      <c r="A41" s="19" t="s">
        <v>356</v>
      </c>
      <c r="B41" s="14" t="s">
        <v>350</v>
      </c>
      <c r="C41" s="8" t="n">
        <v>5</v>
      </c>
      <c r="D41" s="14" t="s">
        <v>357</v>
      </c>
      <c r="E41" s="18" t="s">
        <v>137</v>
      </c>
      <c r="F41" s="18" t="s">
        <v>137</v>
      </c>
      <c r="G41" s="17"/>
    </row>
    <row r="42" customFormat="false" ht="21.75" hidden="false" customHeight="true" outlineLevel="0" collapsed="false">
      <c r="A42" s="19" t="s">
        <v>358</v>
      </c>
      <c r="B42" s="14" t="s">
        <v>341</v>
      </c>
      <c r="C42" s="8" t="n">
        <v>6</v>
      </c>
      <c r="D42" s="14" t="s">
        <v>359</v>
      </c>
      <c r="E42" s="18" t="s">
        <v>137</v>
      </c>
      <c r="F42" s="18" t="s">
        <v>137</v>
      </c>
      <c r="G42" s="17"/>
    </row>
    <row r="44" customFormat="false" ht="15" hidden="false" customHeight="false" outlineLevel="0" collapsed="false">
      <c r="A44" s="15" t="s">
        <v>360</v>
      </c>
      <c r="C44" s="15" t="n">
        <f aca="false">COUNTIF(E4:E42,"Selesai")</f>
        <v>4</v>
      </c>
    </row>
    <row r="45" customFormat="false" ht="15" hidden="false" customHeight="false" outlineLevel="0" collapsed="false">
      <c r="A45" s="15" t="s">
        <v>361</v>
      </c>
      <c r="C45" s="15" t="n">
        <f aca="false">COUNTA(A4:A42)</f>
        <v>39</v>
      </c>
    </row>
    <row r="46" customFormat="false" ht="15" hidden="false" customHeight="false" outlineLevel="0" collapsed="false">
      <c r="A46" s="15" t="s">
        <v>362</v>
      </c>
      <c r="C46" s="26" t="n">
        <f aca="false">IFERROR(C44/C45,0)</f>
        <v>0.102564102564103</v>
      </c>
    </row>
  </sheetData>
  <dataValidations count="1">
    <dataValidation allowBlank="true" errorStyle="stop" operator="between" showDropDown="false" showErrorMessage="false" showInputMessage="false" sqref="E4:F42" type="list">
      <formula1>"Belum,Jalan,Selesai,Blocked,N/A"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46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26"/>
  </cols>
  <sheetData>
    <row r="1" customFormat="false" ht="21.75" hidden="false" customHeight="true" outlineLevel="0" collapsed="false">
      <c r="A1" s="1" t="s">
        <v>363</v>
      </c>
    </row>
    <row r="2" customFormat="false" ht="13.5" hidden="false" customHeight="true" outlineLevel="0" collapsed="false">
      <c r="A2" s="2" t="s">
        <v>364</v>
      </c>
    </row>
    <row r="3" customFormat="false" ht="30" hidden="false" customHeight="true" outlineLevel="0" collapsed="false">
      <c r="A3" s="3" t="s">
        <v>365</v>
      </c>
      <c r="B3" s="3" t="s">
        <v>125</v>
      </c>
      <c r="C3" s="3" t="s">
        <v>366</v>
      </c>
      <c r="D3" s="3" t="s">
        <v>367</v>
      </c>
      <c r="E3" s="3" t="s">
        <v>368</v>
      </c>
      <c r="F3" s="3" t="s">
        <v>369</v>
      </c>
      <c r="G3" s="3" t="s">
        <v>370</v>
      </c>
      <c r="H3" s="3" t="s">
        <v>371</v>
      </c>
      <c r="I3" s="3" t="s">
        <v>132</v>
      </c>
    </row>
    <row r="4" customFormat="false" ht="21.75" hidden="false" customHeight="true" outlineLevel="0" collapsed="false">
      <c r="A4" s="7" t="s">
        <v>372</v>
      </c>
      <c r="B4" s="8" t="n">
        <v>1</v>
      </c>
      <c r="C4" s="14" t="s">
        <v>373</v>
      </c>
      <c r="D4" s="8" t="n">
        <v>2</v>
      </c>
      <c r="E4" s="8" t="s">
        <v>374</v>
      </c>
      <c r="F4" s="27"/>
      <c r="G4" s="7" t="str">
        <f aca="false">IF(F4="","-",IF(E4="&gt;=",IF(F4&gt;=D4,"LULUS","GAGAL"),IF(E4="&gt;",IF(F4&gt;D4,"LULUS","GAGAL"),IF(E4="&lt;=",IF(F4&lt;=D4,"LULUS","GAGAL"),"?"))))</f>
        <v>-</v>
      </c>
      <c r="H4" s="14" t="s">
        <v>375</v>
      </c>
      <c r="I4" s="17"/>
    </row>
    <row r="5" customFormat="false" ht="21.75" hidden="false" customHeight="true" outlineLevel="0" collapsed="false">
      <c r="A5" s="7" t="s">
        <v>376</v>
      </c>
      <c r="B5" s="8" t="n">
        <v>1</v>
      </c>
      <c r="C5" s="14" t="s">
        <v>377</v>
      </c>
      <c r="D5" s="8" t="n">
        <v>200</v>
      </c>
      <c r="E5" s="8" t="s">
        <v>374</v>
      </c>
      <c r="F5" s="27"/>
      <c r="G5" s="7" t="str">
        <f aca="false">IF(F5="","-",IF(E5="&gt;=",IF(F5&gt;=D5,"LULUS","GAGAL"),IF(E5="&gt;",IF(F5&gt;D5,"LULUS","GAGAL"),IF(E5="&lt;=",IF(F5&lt;=D5,"LULUS","GAGAL"),"?"))))</f>
        <v>-</v>
      </c>
      <c r="H5" s="14" t="s">
        <v>378</v>
      </c>
      <c r="I5" s="17"/>
    </row>
    <row r="6" customFormat="false" ht="21.75" hidden="false" customHeight="true" outlineLevel="0" collapsed="false">
      <c r="A6" s="7" t="s">
        <v>379</v>
      </c>
      <c r="B6" s="8" t="n">
        <v>1</v>
      </c>
      <c r="C6" s="14" t="s">
        <v>380</v>
      </c>
      <c r="D6" s="8" t="n">
        <v>0</v>
      </c>
      <c r="E6" s="8" t="s">
        <v>381</v>
      </c>
      <c r="F6" s="27"/>
      <c r="G6" s="7" t="str">
        <f aca="false">IF(F6="","-",IF(E6="&gt;=",IF(F6&gt;=D6,"LULUS","GAGAL"),IF(E6="&gt;",IF(F6&gt;D6,"LULUS","GAGAL"),IF(E6="&lt;=",IF(F6&lt;=D6,"LULUS","GAGAL"),"?"))))</f>
        <v>-</v>
      </c>
      <c r="H6" s="14" t="s">
        <v>378</v>
      </c>
      <c r="I6" s="17"/>
    </row>
    <row r="7" customFormat="false" ht="21.75" hidden="false" customHeight="true" outlineLevel="0" collapsed="false">
      <c r="A7" s="7" t="s">
        <v>382</v>
      </c>
      <c r="B7" s="8" t="n">
        <v>1</v>
      </c>
      <c r="C7" s="14" t="s">
        <v>383</v>
      </c>
      <c r="D7" s="8" t="n">
        <v>2</v>
      </c>
      <c r="E7" s="8" t="s">
        <v>374</v>
      </c>
      <c r="F7" s="27"/>
      <c r="G7" s="7" t="str">
        <f aca="false">IF(F7="","-",IF(E7="&gt;=",IF(F7&gt;=D7,"LULUS","GAGAL"),IF(E7="&gt;",IF(F7&gt;D7,"LULUS","GAGAL"),IF(E7="&lt;=",IF(F7&lt;=D7,"LULUS","GAGAL"),"?"))))</f>
        <v>-</v>
      </c>
      <c r="H7" s="14" t="s">
        <v>378</v>
      </c>
      <c r="I7" s="17"/>
    </row>
    <row r="8" customFormat="false" ht="21.75" hidden="false" customHeight="true" outlineLevel="0" collapsed="false">
      <c r="A8" s="7" t="s">
        <v>384</v>
      </c>
      <c r="B8" s="8" t="n">
        <v>1</v>
      </c>
      <c r="C8" s="14" t="s">
        <v>385</v>
      </c>
      <c r="D8" s="8" t="n">
        <v>15</v>
      </c>
      <c r="E8" s="8" t="s">
        <v>386</v>
      </c>
      <c r="F8" s="27"/>
      <c r="G8" s="7" t="str">
        <f aca="false">IF(F8="","-",IF(E8="&gt;=",IF(F8&gt;=D8,"LULUS","GAGAL"),IF(E8="&gt;",IF(F8&gt;D8,"LULUS","GAGAL"),IF(E8="&lt;=",IF(F8&lt;=D8,"LULUS","GAGAL"),"?"))))</f>
        <v>-</v>
      </c>
      <c r="H8" s="14" t="s">
        <v>378</v>
      </c>
      <c r="I8" s="17"/>
    </row>
    <row r="9" customFormat="false" ht="21.75" hidden="false" customHeight="true" outlineLevel="0" collapsed="false">
      <c r="A9" s="7" t="s">
        <v>387</v>
      </c>
      <c r="B9" s="8" t="n">
        <v>1</v>
      </c>
      <c r="C9" s="14" t="s">
        <v>388</v>
      </c>
      <c r="D9" s="8" t="n">
        <v>30</v>
      </c>
      <c r="E9" s="8" t="s">
        <v>386</v>
      </c>
      <c r="F9" s="27"/>
      <c r="G9" s="7" t="str">
        <f aca="false">IF(F9="","-",IF(E9="&gt;=",IF(F9&gt;=D9,"LULUS","GAGAL"),IF(E9="&gt;",IF(F9&gt;D9,"LULUS","GAGAL"),IF(E9="&lt;=",IF(F9&lt;=D9,"LULUS","GAGAL"),"?"))))</f>
        <v>-</v>
      </c>
      <c r="H9" s="14" t="s">
        <v>378</v>
      </c>
      <c r="I9" s="17"/>
    </row>
    <row r="10" customFormat="false" ht="21.75" hidden="false" customHeight="true" outlineLevel="0" collapsed="false">
      <c r="A10" s="7" t="s">
        <v>389</v>
      </c>
      <c r="B10" s="8" t="n">
        <v>1</v>
      </c>
      <c r="C10" s="14" t="s">
        <v>390</v>
      </c>
      <c r="D10" s="8" t="n">
        <v>0</v>
      </c>
      <c r="E10" s="8" t="s">
        <v>386</v>
      </c>
      <c r="F10" s="27"/>
      <c r="G10" s="7" t="str">
        <f aca="false">IF(F10="","-",IF(E10="&gt;=",IF(F10&gt;=D10,"LULUS","GAGAL"),IF(E10="&gt;",IF(F10&gt;D10,"LULUS","GAGAL"),IF(E10="&lt;=",IF(F10&lt;=D10,"LULUS","GAGAL"),"?"))))</f>
        <v>-</v>
      </c>
      <c r="H10" s="14" t="s">
        <v>391</v>
      </c>
      <c r="I10" s="17"/>
    </row>
    <row r="11" customFormat="false" ht="21.75" hidden="false" customHeight="true" outlineLevel="0" collapsed="false">
      <c r="A11" s="7" t="s">
        <v>392</v>
      </c>
      <c r="B11" s="8" t="n">
        <v>1</v>
      </c>
      <c r="C11" s="14" t="s">
        <v>393</v>
      </c>
      <c r="D11" s="8" t="n">
        <v>0</v>
      </c>
      <c r="E11" s="8" t="s">
        <v>386</v>
      </c>
      <c r="F11" s="27"/>
      <c r="G11" s="7" t="str">
        <f aca="false">IF(F11="","-",IF(E11="&gt;=",IF(F11&gt;=D11,"LULUS","GAGAL"),IF(E11="&gt;",IF(F11&gt;D11,"LULUS","GAGAL"),IF(E11="&lt;=",IF(F11&lt;=D11,"LULUS","GAGAL"),"?"))))</f>
        <v>-</v>
      </c>
      <c r="H11" s="14" t="s">
        <v>394</v>
      </c>
      <c r="I11" s="17"/>
    </row>
    <row r="12" customFormat="false" ht="21.75" hidden="false" customHeight="true" outlineLevel="0" collapsed="false">
      <c r="A12" s="7" t="s">
        <v>395</v>
      </c>
      <c r="B12" s="8" t="n">
        <v>1</v>
      </c>
      <c r="C12" s="14" t="s">
        <v>396</v>
      </c>
      <c r="D12" s="8" t="n">
        <v>0</v>
      </c>
      <c r="E12" s="8" t="s">
        <v>386</v>
      </c>
      <c r="F12" s="27"/>
      <c r="G12" s="7" t="str">
        <f aca="false">IF(F12="","-",IF(E12="&gt;=",IF(F12&gt;=D12,"LULUS","GAGAL"),IF(E12="&gt;",IF(F12&gt;D12,"LULUS","GAGAL"),IF(E12="&lt;=",IF(F12&lt;=D12,"LULUS","GAGAL"),"?"))))</f>
        <v>-</v>
      </c>
      <c r="H12" s="14" t="s">
        <v>397</v>
      </c>
      <c r="I12" s="17"/>
    </row>
    <row r="13" customFormat="false" ht="21.75" hidden="false" customHeight="true" outlineLevel="0" collapsed="false">
      <c r="A13" s="7" t="s">
        <v>398</v>
      </c>
      <c r="B13" s="8" t="n">
        <v>1</v>
      </c>
      <c r="C13" s="14" t="s">
        <v>399</v>
      </c>
      <c r="D13" s="8" t="n">
        <v>1.5</v>
      </c>
      <c r="E13" s="8" t="s">
        <v>386</v>
      </c>
      <c r="F13" s="27"/>
      <c r="G13" s="7" t="str">
        <f aca="false">IF(F13="","-",IF(E13="&gt;=",IF(F13&gt;=D13,"LULUS","GAGAL"),IF(E13="&gt;",IF(F13&gt;D13,"LULUS","GAGAL"),IF(E13="&lt;=",IF(F13&lt;=D13,"LULUS","GAGAL"),"?"))))</f>
        <v>-</v>
      </c>
      <c r="H13" s="14" t="s">
        <v>66</v>
      </c>
      <c r="I13" s="17"/>
    </row>
    <row r="14" customFormat="false" ht="21.75" hidden="false" customHeight="true" outlineLevel="0" collapsed="false">
      <c r="A14" s="7" t="s">
        <v>400</v>
      </c>
      <c r="B14" s="8" t="n">
        <v>1</v>
      </c>
      <c r="C14" s="14" t="s">
        <v>401</v>
      </c>
      <c r="D14" s="8" t="n">
        <v>0</v>
      </c>
      <c r="E14" s="8" t="s">
        <v>381</v>
      </c>
      <c r="F14" s="27"/>
      <c r="G14" s="7" t="str">
        <f aca="false">IF(F14="","-",IF(E14="&gt;=",IF(F14&gt;=D14,"LULUS","GAGAL"),IF(E14="&gt;",IF(F14&gt;D14,"LULUS","GAGAL"),IF(E14="&lt;=",IF(F14&lt;=D14,"LULUS","GAGAL"),"?"))))</f>
        <v>-</v>
      </c>
      <c r="H14" s="14" t="s">
        <v>66</v>
      </c>
      <c r="I14" s="17"/>
    </row>
    <row r="15" customFormat="false" ht="21.75" hidden="false" customHeight="true" outlineLevel="0" collapsed="false">
      <c r="A15" s="7" t="s">
        <v>402</v>
      </c>
      <c r="B15" s="8" t="n">
        <v>2</v>
      </c>
      <c r="C15" s="14" t="s">
        <v>403</v>
      </c>
      <c r="D15" s="8" t="n">
        <v>30</v>
      </c>
      <c r="E15" s="8" t="s">
        <v>386</v>
      </c>
      <c r="F15" s="27"/>
      <c r="G15" s="7" t="str">
        <f aca="false">IF(F15="","-",IF(E15="&gt;=",IF(F15&gt;=D15,"LULUS","GAGAL"),IF(E15="&gt;",IF(F15&gt;D15,"LULUS","GAGAL"),IF(E15="&lt;=",IF(F15&lt;=D15,"LULUS","GAGAL"),"?"))))</f>
        <v>-</v>
      </c>
      <c r="H15" s="14" t="s">
        <v>404</v>
      </c>
      <c r="I15" s="17"/>
    </row>
    <row r="16" customFormat="false" ht="21.75" hidden="false" customHeight="true" outlineLevel="0" collapsed="false">
      <c r="A16" s="7" t="s">
        <v>405</v>
      </c>
      <c r="B16" s="8" t="n">
        <v>3</v>
      </c>
      <c r="C16" s="14" t="s">
        <v>406</v>
      </c>
      <c r="D16" s="8" t="n">
        <v>0</v>
      </c>
      <c r="E16" s="8" t="s">
        <v>386</v>
      </c>
      <c r="F16" s="27"/>
      <c r="G16" s="7" t="str">
        <f aca="false">IF(F16="","-",IF(E16="&gt;=",IF(F16&gt;=D16,"LULUS","GAGAL"),IF(E16="&gt;",IF(F16&gt;D16,"LULUS","GAGAL"),IF(E16="&lt;=",IF(F16&lt;=D16,"LULUS","GAGAL"),"?"))))</f>
        <v>-</v>
      </c>
      <c r="H16" s="14" t="s">
        <v>407</v>
      </c>
      <c r="I16" s="17"/>
    </row>
    <row r="17" customFormat="false" ht="21.75" hidden="false" customHeight="true" outlineLevel="0" collapsed="false">
      <c r="A17" s="7" t="s">
        <v>408</v>
      </c>
      <c r="B17" s="8" t="n">
        <v>4</v>
      </c>
      <c r="C17" s="14" t="s">
        <v>409</v>
      </c>
      <c r="D17" s="8" t="n">
        <v>0</v>
      </c>
      <c r="E17" s="8" t="s">
        <v>381</v>
      </c>
      <c r="F17" s="27"/>
      <c r="G17" s="7" t="str">
        <f aca="false">IF(F17="","-",IF(E17="&gt;=",IF(F17&gt;=D17,"LULUS","GAGAL"),IF(E17="&gt;",IF(F17&gt;D17,"LULUS","GAGAL"),IF(E17="&lt;=",IF(F17&lt;=D17,"LULUS","GAGAL"),"?"))))</f>
        <v>-</v>
      </c>
      <c r="H17" s="14" t="s">
        <v>410</v>
      </c>
      <c r="I17" s="17"/>
    </row>
    <row r="18" customFormat="false" ht="21.75" hidden="false" customHeight="true" outlineLevel="0" collapsed="false">
      <c r="A18" s="7" t="s">
        <v>411</v>
      </c>
      <c r="B18" s="8" t="n">
        <v>5</v>
      </c>
      <c r="C18" s="14" t="s">
        <v>412</v>
      </c>
      <c r="D18" s="8" t="n">
        <v>15</v>
      </c>
      <c r="E18" s="8" t="s">
        <v>374</v>
      </c>
      <c r="F18" s="27"/>
      <c r="G18" s="7" t="str">
        <f aca="false">IF(F18="","-",IF(E18="&gt;=",IF(F18&gt;=D18,"LULUS","GAGAL"),IF(E18="&gt;",IF(F18&gt;D18,"LULUS","GAGAL"),IF(E18="&lt;=",IF(F18&lt;=D18,"LULUS","GAGAL"),"?"))))</f>
        <v>-</v>
      </c>
      <c r="H18" s="14" t="s">
        <v>413</v>
      </c>
      <c r="I18" s="17"/>
    </row>
    <row r="19" customFormat="false" ht="21.75" hidden="false" customHeight="true" outlineLevel="0" collapsed="false">
      <c r="A19" s="7" t="s">
        <v>414</v>
      </c>
      <c r="B19" s="8" t="n">
        <v>6</v>
      </c>
      <c r="C19" s="14" t="s">
        <v>415</v>
      </c>
      <c r="D19" s="8" t="n">
        <v>1</v>
      </c>
      <c r="E19" s="8" t="s">
        <v>374</v>
      </c>
      <c r="F19" s="27"/>
      <c r="G19" s="7" t="str">
        <f aca="false">IF(F19="","-",IF(E19="&gt;=",IF(F19&gt;=D19,"LULUS","GAGAL"),IF(E19="&gt;",IF(F19&gt;D19,"LULUS","GAGAL"),IF(E19="&lt;=",IF(F19&lt;=D19,"LULUS","GAGAL"),"?"))))</f>
        <v>-</v>
      </c>
      <c r="H19" s="14" t="s">
        <v>416</v>
      </c>
      <c r="I19" s="17"/>
    </row>
    <row r="21" customFormat="false" ht="15" hidden="false" customHeight="false" outlineLevel="0" collapsed="false">
      <c r="C21" s="15" t="s">
        <v>17</v>
      </c>
      <c r="D21" s="25" t="n">
        <f aca="false">COUNTIF(G4:G19,"LULUS")</f>
        <v>0</v>
      </c>
    </row>
    <row r="22" customFormat="false" ht="15" hidden="false" customHeight="false" outlineLevel="0" collapsed="false">
      <c r="C22" s="15" t="s">
        <v>19</v>
      </c>
      <c r="D22" s="25" t="n">
        <f aca="false">COUNTIF(G4:G19,"GAGAL")</f>
        <v>0</v>
      </c>
    </row>
    <row r="23" customFormat="false" ht="15" hidden="false" customHeight="false" outlineLevel="0" collapsed="false">
      <c r="C23" s="15" t="s">
        <v>417</v>
      </c>
      <c r="D23" s="25" t="n">
        <f aca="false">COUNTIF(G4:G19,"-")</f>
        <v>16</v>
      </c>
    </row>
    <row r="25" customFormat="false" ht="15" hidden="false" customHeight="false" outlineLevel="0" collapsed="false">
      <c r="C25" s="2" t="s">
        <v>418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4" min="3" style="0" width="8"/>
    <col collapsed="false" customWidth="true" hidden="false" outlineLevel="0" max="6" min="5" style="0" width="13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26"/>
    <col collapsed="false" customWidth="true" hidden="false" outlineLevel="0" max="10" min="10" style="0" width="30"/>
  </cols>
  <sheetData>
    <row r="1" customFormat="false" ht="21.75" hidden="false" customHeight="true" outlineLevel="0" collapsed="false">
      <c r="A1" s="1" t="s">
        <v>419</v>
      </c>
    </row>
    <row r="2" customFormat="false" ht="13.5" hidden="false" customHeight="true" outlineLevel="0" collapsed="false">
      <c r="A2" s="2" t="s">
        <v>420</v>
      </c>
    </row>
    <row r="3" customFormat="false" ht="30" hidden="false" customHeight="true" outlineLevel="0" collapsed="false">
      <c r="A3" s="3" t="s">
        <v>421</v>
      </c>
      <c r="B3" s="3" t="s">
        <v>422</v>
      </c>
      <c r="C3" s="3" t="s">
        <v>423</v>
      </c>
      <c r="D3" s="3" t="s">
        <v>424</v>
      </c>
      <c r="E3" s="3" t="s">
        <v>425</v>
      </c>
      <c r="F3" s="3" t="s">
        <v>426</v>
      </c>
      <c r="G3" s="3" t="s">
        <v>427</v>
      </c>
      <c r="H3" s="3" t="s">
        <v>428</v>
      </c>
      <c r="I3" s="3" t="s">
        <v>429</v>
      </c>
      <c r="J3" s="3" t="s">
        <v>132</v>
      </c>
    </row>
    <row r="4" customFormat="false" ht="15" hidden="false" customHeight="false" outlineLevel="0" collapsed="false">
      <c r="A4" s="28" t="s">
        <v>430</v>
      </c>
      <c r="B4" s="28" t="n">
        <v>34</v>
      </c>
      <c r="C4" s="28" t="n">
        <v>18</v>
      </c>
      <c r="D4" s="28" t="n">
        <v>16</v>
      </c>
      <c r="E4" s="28" t="n">
        <v>2</v>
      </c>
      <c r="F4" s="28" t="n">
        <v>3.4</v>
      </c>
      <c r="G4" s="29" t="n">
        <f aca="false">IFERROR(F4/E4,"")</f>
        <v>1.7</v>
      </c>
      <c r="H4" s="30" t="n">
        <v>-12500</v>
      </c>
      <c r="I4" s="28" t="s">
        <v>431</v>
      </c>
      <c r="J4" s="9" t="s">
        <v>432</v>
      </c>
    </row>
    <row r="5" customFormat="false" ht="15" hidden="false" customHeight="false" outlineLevel="0" collapsed="false">
      <c r="A5" s="17"/>
      <c r="B5" s="17"/>
      <c r="C5" s="17"/>
      <c r="D5" s="17"/>
      <c r="E5" s="17"/>
      <c r="F5" s="17"/>
      <c r="G5" s="29" t="str">
        <f aca="false">IFERROR(F5/E5,"")</f>
        <v/>
      </c>
      <c r="H5" s="31"/>
      <c r="I5" s="17"/>
      <c r="J5" s="17"/>
    </row>
    <row r="6" customFormat="false" ht="15" hidden="false" customHeight="false" outlineLevel="0" collapsed="false">
      <c r="A6" s="17"/>
      <c r="B6" s="17"/>
      <c r="C6" s="17"/>
      <c r="D6" s="17"/>
      <c r="E6" s="17"/>
      <c r="F6" s="17"/>
      <c r="G6" s="29" t="str">
        <f aca="false">IFERROR(F6/E6,"")</f>
        <v/>
      </c>
      <c r="H6" s="31"/>
      <c r="I6" s="17"/>
      <c r="J6" s="17"/>
    </row>
    <row r="7" customFormat="false" ht="15" hidden="false" customHeight="false" outlineLevel="0" collapsed="false">
      <c r="A7" s="17"/>
      <c r="B7" s="17"/>
      <c r="C7" s="17"/>
      <c r="D7" s="17"/>
      <c r="E7" s="17"/>
      <c r="F7" s="17"/>
      <c r="G7" s="29" t="str">
        <f aca="false">IFERROR(F7/E7,"")</f>
        <v/>
      </c>
      <c r="H7" s="31"/>
      <c r="I7" s="17"/>
      <c r="J7" s="17"/>
    </row>
    <row r="8" customFormat="false" ht="15" hidden="false" customHeight="false" outlineLevel="0" collapsed="false">
      <c r="A8" s="17"/>
      <c r="B8" s="17"/>
      <c r="C8" s="17"/>
      <c r="D8" s="17"/>
      <c r="E8" s="17"/>
      <c r="F8" s="17"/>
      <c r="G8" s="29" t="str">
        <f aca="false">IFERROR(F8/E8,"")</f>
        <v/>
      </c>
      <c r="H8" s="31"/>
      <c r="I8" s="17"/>
      <c r="J8" s="17"/>
    </row>
    <row r="9" customFormat="false" ht="15" hidden="false" customHeight="false" outlineLevel="0" collapsed="false">
      <c r="A9" s="17"/>
      <c r="B9" s="17"/>
      <c r="C9" s="17"/>
      <c r="D9" s="17"/>
      <c r="E9" s="17"/>
      <c r="F9" s="17"/>
      <c r="G9" s="29" t="str">
        <f aca="false">IFERROR(F9/E9,"")</f>
        <v/>
      </c>
      <c r="H9" s="31"/>
      <c r="I9" s="17"/>
      <c r="J9" s="17"/>
    </row>
    <row r="10" customFormat="false" ht="15" hidden="false" customHeight="false" outlineLevel="0" collapsed="false">
      <c r="A10" s="17"/>
      <c r="B10" s="17"/>
      <c r="C10" s="17"/>
      <c r="D10" s="17"/>
      <c r="E10" s="17"/>
      <c r="F10" s="17"/>
      <c r="G10" s="29" t="str">
        <f aca="false">IFERROR(F10/E10,"")</f>
        <v/>
      </c>
      <c r="H10" s="31"/>
      <c r="I10" s="17"/>
      <c r="J10" s="17"/>
    </row>
    <row r="11" customFormat="false" ht="15" hidden="false" customHeight="false" outlineLevel="0" collapsed="false">
      <c r="A11" s="17"/>
      <c r="B11" s="17"/>
      <c r="C11" s="17"/>
      <c r="D11" s="17"/>
      <c r="E11" s="17"/>
      <c r="F11" s="17"/>
      <c r="G11" s="29" t="str">
        <f aca="false">IFERROR(F11/E11,"")</f>
        <v/>
      </c>
      <c r="H11" s="31"/>
      <c r="I11" s="17"/>
      <c r="J11" s="17"/>
    </row>
    <row r="12" customFormat="false" ht="15" hidden="false" customHeight="false" outlineLevel="0" collapsed="false">
      <c r="A12" s="17"/>
      <c r="B12" s="17"/>
      <c r="C12" s="17"/>
      <c r="D12" s="17"/>
      <c r="E12" s="17"/>
      <c r="F12" s="17"/>
      <c r="G12" s="29" t="str">
        <f aca="false">IFERROR(F12/E12,"")</f>
        <v/>
      </c>
      <c r="H12" s="31"/>
      <c r="I12" s="17"/>
      <c r="J12" s="17"/>
    </row>
    <row r="13" customFormat="false" ht="15" hidden="false" customHeight="false" outlineLevel="0" collapsed="false">
      <c r="A13" s="17"/>
      <c r="B13" s="17"/>
      <c r="C13" s="17"/>
      <c r="D13" s="17"/>
      <c r="E13" s="17"/>
      <c r="F13" s="17"/>
      <c r="G13" s="29" t="str">
        <f aca="false">IFERROR(F13/E13,"")</f>
        <v/>
      </c>
      <c r="H13" s="31"/>
      <c r="I13" s="17"/>
      <c r="J13" s="17"/>
    </row>
    <row r="14" customFormat="false" ht="15" hidden="false" customHeight="false" outlineLevel="0" collapsed="false">
      <c r="A14" s="17"/>
      <c r="B14" s="17"/>
      <c r="C14" s="17"/>
      <c r="D14" s="17"/>
      <c r="E14" s="17"/>
      <c r="F14" s="17"/>
      <c r="G14" s="29" t="str">
        <f aca="false">IFERROR(F14/E14,"")</f>
        <v/>
      </c>
      <c r="H14" s="31"/>
      <c r="I14" s="17"/>
      <c r="J14" s="17"/>
    </row>
    <row r="15" customFormat="false" ht="15" hidden="false" customHeight="false" outlineLevel="0" collapsed="false">
      <c r="A15" s="17"/>
      <c r="B15" s="17"/>
      <c r="C15" s="17"/>
      <c r="D15" s="17"/>
      <c r="E15" s="17"/>
      <c r="F15" s="17"/>
      <c r="G15" s="29" t="str">
        <f aca="false">IFERROR(F15/E15,"")</f>
        <v/>
      </c>
      <c r="H15" s="31"/>
      <c r="I15" s="17"/>
      <c r="J15" s="17"/>
    </row>
    <row r="16" customFormat="false" ht="15" hidden="false" customHeight="false" outlineLevel="0" collapsed="false">
      <c r="A16" s="17"/>
      <c r="B16" s="17"/>
      <c r="C16" s="17"/>
      <c r="D16" s="17"/>
      <c r="E16" s="17"/>
      <c r="F16" s="17"/>
      <c r="G16" s="29" t="str">
        <f aca="false">IFERROR(F16/E16,"")</f>
        <v/>
      </c>
      <c r="H16" s="31"/>
      <c r="I16" s="17"/>
      <c r="J16" s="17"/>
    </row>
    <row r="17" customFormat="false" ht="15" hidden="false" customHeight="false" outlineLevel="0" collapsed="false">
      <c r="A17" s="17"/>
      <c r="B17" s="17"/>
      <c r="C17" s="17"/>
      <c r="D17" s="17"/>
      <c r="E17" s="17"/>
      <c r="F17" s="17"/>
      <c r="G17" s="29" t="str">
        <f aca="false">IFERROR(F17/E17,"")</f>
        <v/>
      </c>
      <c r="H17" s="31"/>
      <c r="I17" s="17"/>
      <c r="J17" s="17"/>
    </row>
    <row r="18" customFormat="false" ht="15" hidden="false" customHeight="false" outlineLevel="0" collapsed="false">
      <c r="A18" s="17"/>
      <c r="B18" s="17"/>
      <c r="C18" s="17"/>
      <c r="D18" s="17"/>
      <c r="E18" s="17"/>
      <c r="F18" s="17"/>
      <c r="G18" s="29" t="str">
        <f aca="false">IFERROR(F18/E18,"")</f>
        <v/>
      </c>
      <c r="H18" s="31"/>
      <c r="I18" s="17"/>
      <c r="J18" s="17"/>
    </row>
    <row r="19" customFormat="false" ht="15" hidden="false" customHeight="false" outlineLevel="0" collapsed="false">
      <c r="A19" s="17"/>
      <c r="B19" s="17"/>
      <c r="C19" s="17"/>
      <c r="D19" s="17"/>
      <c r="E19" s="17"/>
      <c r="F19" s="17"/>
      <c r="G19" s="29" t="str">
        <f aca="false">IFERROR(F19/E19,"")</f>
        <v/>
      </c>
      <c r="H19" s="31"/>
      <c r="I19" s="17"/>
      <c r="J19" s="17"/>
    </row>
    <row r="20" customFormat="false" ht="15" hidden="false" customHeight="false" outlineLevel="0" collapsed="false">
      <c r="A20" s="17"/>
      <c r="B20" s="17"/>
      <c r="C20" s="17"/>
      <c r="D20" s="17"/>
      <c r="E20" s="17"/>
      <c r="F20" s="17"/>
      <c r="G20" s="29" t="str">
        <f aca="false">IFERROR(F20/E20,"")</f>
        <v/>
      </c>
      <c r="H20" s="31"/>
      <c r="I20" s="17"/>
      <c r="J20" s="17"/>
    </row>
    <row r="21" customFormat="false" ht="15" hidden="false" customHeight="false" outlineLevel="0" collapsed="false">
      <c r="A21" s="17"/>
      <c r="B21" s="17"/>
      <c r="C21" s="17"/>
      <c r="D21" s="17"/>
      <c r="E21" s="17"/>
      <c r="F21" s="17"/>
      <c r="G21" s="29" t="str">
        <f aca="false">IFERROR(F21/E21,"")</f>
        <v/>
      </c>
      <c r="H21" s="31"/>
      <c r="I21" s="17"/>
      <c r="J21" s="17"/>
    </row>
    <row r="22" customFormat="false" ht="15" hidden="false" customHeight="false" outlineLevel="0" collapsed="false">
      <c r="A22" s="17"/>
      <c r="B22" s="17"/>
      <c r="C22" s="17"/>
      <c r="D22" s="17"/>
      <c r="E22" s="17"/>
      <c r="F22" s="17"/>
      <c r="G22" s="29" t="str">
        <f aca="false">IFERROR(F22/E22,"")</f>
        <v/>
      </c>
      <c r="H22" s="31"/>
      <c r="I22" s="17"/>
      <c r="J22" s="17"/>
    </row>
    <row r="23" customFormat="false" ht="15" hidden="false" customHeight="false" outlineLevel="0" collapsed="false">
      <c r="A23" s="17"/>
      <c r="B23" s="17"/>
      <c r="C23" s="17"/>
      <c r="D23" s="17"/>
      <c r="E23" s="17"/>
      <c r="F23" s="17"/>
      <c r="G23" s="29" t="str">
        <f aca="false">IFERROR(F23/E23,"")</f>
        <v/>
      </c>
      <c r="H23" s="31"/>
      <c r="I23" s="17"/>
      <c r="J23" s="17"/>
    </row>
    <row r="24" customFormat="false" ht="15" hidden="false" customHeight="false" outlineLevel="0" collapsed="false">
      <c r="A24" s="17"/>
      <c r="B24" s="17"/>
      <c r="C24" s="17"/>
      <c r="D24" s="17"/>
      <c r="E24" s="17"/>
      <c r="F24" s="17"/>
      <c r="G24" s="29" t="str">
        <f aca="false">IFERROR(F24/E24,"")</f>
        <v/>
      </c>
      <c r="H24" s="31"/>
      <c r="I24" s="17"/>
      <c r="J24" s="17"/>
    </row>
    <row r="25" customFormat="false" ht="15" hidden="false" customHeight="false" outlineLevel="0" collapsed="false">
      <c r="A25" s="17"/>
      <c r="B25" s="17"/>
      <c r="C25" s="17"/>
      <c r="D25" s="17"/>
      <c r="E25" s="17"/>
      <c r="F25" s="17"/>
      <c r="G25" s="29" t="str">
        <f aca="false">IFERROR(F25/E25,"")</f>
        <v/>
      </c>
      <c r="H25" s="31"/>
      <c r="I25" s="17"/>
      <c r="J25" s="17"/>
    </row>
    <row r="26" customFormat="false" ht="15" hidden="false" customHeight="false" outlineLevel="0" collapsed="false">
      <c r="A26" s="17"/>
      <c r="B26" s="17"/>
      <c r="C26" s="17"/>
      <c r="D26" s="17"/>
      <c r="E26" s="17"/>
      <c r="F26" s="17"/>
      <c r="G26" s="29" t="str">
        <f aca="false">IFERROR(F26/E26,"")</f>
        <v/>
      </c>
      <c r="H26" s="31"/>
      <c r="I26" s="17"/>
      <c r="J26" s="17"/>
    </row>
    <row r="27" customFormat="false" ht="15" hidden="false" customHeight="false" outlineLevel="0" collapsed="false">
      <c r="A27" s="17"/>
      <c r="B27" s="17"/>
      <c r="C27" s="17"/>
      <c r="D27" s="17"/>
      <c r="E27" s="17"/>
      <c r="F27" s="17"/>
      <c r="G27" s="29" t="str">
        <f aca="false">IFERROR(F27/E27,"")</f>
        <v/>
      </c>
      <c r="H27" s="31"/>
      <c r="I27" s="17"/>
      <c r="J27" s="17"/>
    </row>
    <row r="28" customFormat="false" ht="15" hidden="false" customHeight="false" outlineLevel="0" collapsed="false">
      <c r="A28" s="17"/>
      <c r="B28" s="17"/>
      <c r="C28" s="17"/>
      <c r="D28" s="17"/>
      <c r="E28" s="17"/>
      <c r="F28" s="17"/>
      <c r="G28" s="29" t="str">
        <f aca="false">IFERROR(F28/E28,"")</f>
        <v/>
      </c>
      <c r="H28" s="31"/>
      <c r="I28" s="17"/>
      <c r="J28" s="17"/>
    </row>
    <row r="29" customFormat="false" ht="15" hidden="false" customHeight="false" outlineLevel="0" collapsed="false">
      <c r="A29" s="17"/>
      <c r="B29" s="17"/>
      <c r="C29" s="17"/>
      <c r="D29" s="17"/>
      <c r="E29" s="17"/>
      <c r="F29" s="17"/>
      <c r="G29" s="29" t="str">
        <f aca="false">IFERROR(F29/E29,"")</f>
        <v/>
      </c>
      <c r="H29" s="31"/>
      <c r="I29" s="17"/>
      <c r="J29" s="17"/>
    </row>
    <row r="30" customFormat="false" ht="15" hidden="false" customHeight="false" outlineLevel="0" collapsed="false">
      <c r="A30" s="17"/>
      <c r="B30" s="17"/>
      <c r="C30" s="17"/>
      <c r="D30" s="17"/>
      <c r="E30" s="17"/>
      <c r="F30" s="17"/>
      <c r="G30" s="29" t="str">
        <f aca="false">IFERROR(F30/E30,"")</f>
        <v/>
      </c>
      <c r="H30" s="31"/>
      <c r="I30" s="17"/>
      <c r="J30" s="17"/>
    </row>
    <row r="31" customFormat="false" ht="15" hidden="false" customHeight="false" outlineLevel="0" collapsed="false">
      <c r="A31" s="17"/>
      <c r="B31" s="17"/>
      <c r="C31" s="17"/>
      <c r="D31" s="17"/>
      <c r="E31" s="17"/>
      <c r="F31" s="17"/>
      <c r="G31" s="29" t="str">
        <f aca="false">IFERROR(F31/E31,"")</f>
        <v/>
      </c>
      <c r="H31" s="31"/>
      <c r="I31" s="17"/>
      <c r="J31" s="17"/>
    </row>
    <row r="32" customFormat="false" ht="15" hidden="false" customHeight="false" outlineLevel="0" collapsed="false">
      <c r="A32" s="17"/>
      <c r="B32" s="17"/>
      <c r="C32" s="17"/>
      <c r="D32" s="17"/>
      <c r="E32" s="17"/>
      <c r="F32" s="17"/>
      <c r="G32" s="29" t="str">
        <f aca="false">IFERROR(F32/E32,"")</f>
        <v/>
      </c>
      <c r="H32" s="31"/>
      <c r="I32" s="17"/>
      <c r="J32" s="17"/>
    </row>
    <row r="33" customFormat="false" ht="15" hidden="false" customHeight="false" outlineLevel="0" collapsed="false">
      <c r="A33" s="17"/>
      <c r="B33" s="17"/>
      <c r="C33" s="17"/>
      <c r="D33" s="17"/>
      <c r="E33" s="17"/>
      <c r="F33" s="17"/>
      <c r="G33" s="29" t="str">
        <f aca="false">IFERROR(F33/E33,"")</f>
        <v/>
      </c>
      <c r="H33" s="31"/>
      <c r="I33" s="17"/>
      <c r="J33" s="17"/>
    </row>
    <row r="34" customFormat="false" ht="15" hidden="false" customHeight="false" outlineLevel="0" collapsed="false">
      <c r="A34" s="17"/>
      <c r="B34" s="17"/>
      <c r="C34" s="17"/>
      <c r="D34" s="17"/>
      <c r="E34" s="17"/>
      <c r="F34" s="17"/>
      <c r="G34" s="29" t="str">
        <f aca="false">IFERROR(F34/E34,"")</f>
        <v/>
      </c>
      <c r="H34" s="31"/>
      <c r="I34" s="17"/>
      <c r="J34" s="17"/>
    </row>
    <row r="35" customFormat="false" ht="15" hidden="false" customHeight="false" outlineLevel="0" collapsed="false">
      <c r="A35" s="17"/>
      <c r="B35" s="17"/>
      <c r="C35" s="17"/>
      <c r="D35" s="17"/>
      <c r="E35" s="17"/>
      <c r="F35" s="17"/>
      <c r="G35" s="29" t="str">
        <f aca="false">IFERROR(F35/E35,"")</f>
        <v/>
      </c>
      <c r="H35" s="31"/>
      <c r="I35" s="17"/>
      <c r="J35" s="17"/>
    </row>
    <row r="36" customFormat="false" ht="15" hidden="false" customHeight="false" outlineLevel="0" collapsed="false">
      <c r="A36" s="17"/>
      <c r="B36" s="17"/>
      <c r="C36" s="17"/>
      <c r="D36" s="17"/>
      <c r="E36" s="17"/>
      <c r="F36" s="17"/>
      <c r="G36" s="29" t="str">
        <f aca="false">IFERROR(F36/E36,"")</f>
        <v/>
      </c>
      <c r="H36" s="31"/>
      <c r="I36" s="17"/>
      <c r="J36" s="17"/>
    </row>
    <row r="37" customFormat="false" ht="15" hidden="false" customHeight="false" outlineLevel="0" collapsed="false">
      <c r="A37" s="17"/>
      <c r="B37" s="17"/>
      <c r="C37" s="17"/>
      <c r="D37" s="17"/>
      <c r="E37" s="17"/>
      <c r="F37" s="17"/>
      <c r="G37" s="29" t="str">
        <f aca="false">IFERROR(F37/E37,"")</f>
        <v/>
      </c>
      <c r="H37" s="31"/>
      <c r="I37" s="17"/>
      <c r="J37" s="17"/>
    </row>
    <row r="38" customFormat="false" ht="15" hidden="false" customHeight="false" outlineLevel="0" collapsed="false">
      <c r="A38" s="17"/>
      <c r="B38" s="17"/>
      <c r="C38" s="17"/>
      <c r="D38" s="17"/>
      <c r="E38" s="17"/>
      <c r="F38" s="17"/>
      <c r="G38" s="29" t="str">
        <f aca="false">IFERROR(F38/E38,"")</f>
        <v/>
      </c>
      <c r="H38" s="31"/>
      <c r="I38" s="17"/>
      <c r="J38" s="17"/>
    </row>
    <row r="39" customFormat="false" ht="15" hidden="false" customHeight="false" outlineLevel="0" collapsed="false">
      <c r="A39" s="17"/>
      <c r="B39" s="17"/>
      <c r="C39" s="17"/>
      <c r="D39" s="17"/>
      <c r="E39" s="17"/>
      <c r="F39" s="17"/>
      <c r="G39" s="29" t="str">
        <f aca="false">IFERROR(F39/E39,"")</f>
        <v/>
      </c>
      <c r="H39" s="31"/>
      <c r="I39" s="17"/>
      <c r="J39" s="17"/>
    </row>
    <row r="40" customFormat="false" ht="15" hidden="false" customHeight="false" outlineLevel="0" collapsed="false">
      <c r="A40" s="17"/>
      <c r="B40" s="17"/>
      <c r="C40" s="17"/>
      <c r="D40" s="17"/>
      <c r="E40" s="17"/>
      <c r="F40" s="17"/>
      <c r="G40" s="29" t="str">
        <f aca="false">IFERROR(F40/E40,"")</f>
        <v/>
      </c>
      <c r="H40" s="31"/>
      <c r="I40" s="17"/>
      <c r="J40" s="17"/>
    </row>
    <row r="41" customFormat="false" ht="15" hidden="false" customHeight="false" outlineLevel="0" collapsed="false">
      <c r="A41" s="17"/>
      <c r="B41" s="17"/>
      <c r="C41" s="17"/>
      <c r="D41" s="17"/>
      <c r="E41" s="17"/>
      <c r="F41" s="17"/>
      <c r="G41" s="29" t="str">
        <f aca="false">IFERROR(F41/E41,"")</f>
        <v/>
      </c>
      <c r="H41" s="31"/>
      <c r="I41" s="17"/>
      <c r="J41" s="17"/>
    </row>
    <row r="42" customFormat="false" ht="15" hidden="false" customHeight="false" outlineLevel="0" collapsed="false">
      <c r="A42" s="17"/>
      <c r="B42" s="17"/>
      <c r="C42" s="17"/>
      <c r="D42" s="17"/>
      <c r="E42" s="17"/>
      <c r="F42" s="17"/>
      <c r="G42" s="29" t="str">
        <f aca="false">IFERROR(F42/E42,"")</f>
        <v/>
      </c>
      <c r="H42" s="31"/>
      <c r="I42" s="17"/>
      <c r="J42" s="17"/>
    </row>
    <row r="43" customFormat="false" ht="15" hidden="false" customHeight="false" outlineLevel="0" collapsed="false">
      <c r="A43" s="17"/>
      <c r="B43" s="17"/>
      <c r="C43" s="17"/>
      <c r="D43" s="17"/>
      <c r="E43" s="17"/>
      <c r="F43" s="17"/>
      <c r="G43" s="29" t="str">
        <f aca="false">IFERROR(F43/E43,"")</f>
        <v/>
      </c>
      <c r="H43" s="31"/>
      <c r="I43" s="17"/>
      <c r="J43" s="17"/>
    </row>
    <row r="44" customFormat="false" ht="15" hidden="false" customHeight="false" outlineLevel="0" collapsed="false">
      <c r="A44" s="17"/>
      <c r="B44" s="17"/>
      <c r="C44" s="17"/>
      <c r="D44" s="17"/>
      <c r="E44" s="17"/>
      <c r="F44" s="17"/>
      <c r="G44" s="29" t="str">
        <f aca="false">IFERROR(F44/E44,"")</f>
        <v/>
      </c>
      <c r="H44" s="31"/>
      <c r="I44" s="17"/>
      <c r="J44" s="17"/>
    </row>
    <row r="45" customFormat="false" ht="15" hidden="false" customHeight="false" outlineLevel="0" collapsed="false">
      <c r="A45" s="17"/>
      <c r="B45" s="17"/>
      <c r="C45" s="17"/>
      <c r="D45" s="17"/>
      <c r="E45" s="17"/>
      <c r="F45" s="17"/>
      <c r="G45" s="29" t="str">
        <f aca="false">IFERROR(F45/E45,"")</f>
        <v/>
      </c>
      <c r="H45" s="31"/>
      <c r="I45" s="17"/>
      <c r="J45" s="17"/>
    </row>
    <row r="46" customFormat="false" ht="15" hidden="false" customHeight="false" outlineLevel="0" collapsed="false">
      <c r="A46" s="17"/>
      <c r="B46" s="17"/>
      <c r="C46" s="17"/>
      <c r="D46" s="17"/>
      <c r="E46" s="17"/>
      <c r="F46" s="17"/>
      <c r="G46" s="29" t="str">
        <f aca="false">IFERROR(F46/E46,"")</f>
        <v/>
      </c>
      <c r="H46" s="31"/>
      <c r="I46" s="17"/>
      <c r="J46" s="17"/>
    </row>
    <row r="47" customFormat="false" ht="15" hidden="false" customHeight="false" outlineLevel="0" collapsed="false">
      <c r="A47" s="17"/>
      <c r="B47" s="17"/>
      <c r="C47" s="17"/>
      <c r="D47" s="17"/>
      <c r="E47" s="17"/>
      <c r="F47" s="17"/>
      <c r="G47" s="29" t="str">
        <f aca="false">IFERROR(F47/E47,"")</f>
        <v/>
      </c>
      <c r="H47" s="31"/>
      <c r="I47" s="17"/>
      <c r="J47" s="17"/>
    </row>
    <row r="48" customFormat="false" ht="15" hidden="false" customHeight="false" outlineLevel="0" collapsed="false">
      <c r="A48" s="17"/>
      <c r="B48" s="17"/>
      <c r="C48" s="17"/>
      <c r="D48" s="17"/>
      <c r="E48" s="17"/>
      <c r="F48" s="17"/>
      <c r="G48" s="29" t="str">
        <f aca="false">IFERROR(F48/E48,"")</f>
        <v/>
      </c>
      <c r="H48" s="31"/>
      <c r="I48" s="17"/>
      <c r="J48" s="17"/>
    </row>
    <row r="49" customFormat="false" ht="15" hidden="false" customHeight="false" outlineLevel="0" collapsed="false">
      <c r="A49" s="17"/>
      <c r="B49" s="17"/>
      <c r="C49" s="17"/>
      <c r="D49" s="17"/>
      <c r="E49" s="17"/>
      <c r="F49" s="17"/>
      <c r="G49" s="29" t="str">
        <f aca="false">IFERROR(F49/E49,"")</f>
        <v/>
      </c>
      <c r="H49" s="31"/>
      <c r="I49" s="17"/>
      <c r="J49" s="17"/>
    </row>
    <row r="50" customFormat="false" ht="15" hidden="false" customHeight="false" outlineLevel="0" collapsed="false">
      <c r="A50" s="17"/>
      <c r="B50" s="17"/>
      <c r="C50" s="17"/>
      <c r="D50" s="17"/>
      <c r="E50" s="17"/>
      <c r="F50" s="17"/>
      <c r="G50" s="29" t="str">
        <f aca="false">IFERROR(F50/E50,"")</f>
        <v/>
      </c>
      <c r="H50" s="31"/>
      <c r="I50" s="17"/>
      <c r="J50" s="17"/>
    </row>
    <row r="51" customFormat="false" ht="15" hidden="false" customHeight="false" outlineLevel="0" collapsed="false">
      <c r="A51" s="17"/>
      <c r="B51" s="17"/>
      <c r="C51" s="17"/>
      <c r="D51" s="17"/>
      <c r="E51" s="17"/>
      <c r="F51" s="17"/>
      <c r="G51" s="29" t="str">
        <f aca="false">IFERROR(F51/E51,"")</f>
        <v/>
      </c>
      <c r="H51" s="31"/>
      <c r="I51" s="17"/>
      <c r="J51" s="17"/>
    </row>
    <row r="52" customFormat="false" ht="15" hidden="false" customHeight="false" outlineLevel="0" collapsed="false">
      <c r="A52" s="17"/>
      <c r="B52" s="17"/>
      <c r="C52" s="17"/>
      <c r="D52" s="17"/>
      <c r="E52" s="17"/>
      <c r="F52" s="17"/>
      <c r="G52" s="29" t="str">
        <f aca="false">IFERROR(F52/E52,"")</f>
        <v/>
      </c>
      <c r="H52" s="31"/>
      <c r="I52" s="17"/>
      <c r="J52" s="17"/>
    </row>
    <row r="53" customFormat="false" ht="15" hidden="false" customHeight="false" outlineLevel="0" collapsed="false">
      <c r="A53" s="17"/>
      <c r="B53" s="17"/>
      <c r="C53" s="17"/>
      <c r="D53" s="17"/>
      <c r="E53" s="17"/>
      <c r="F53" s="17"/>
      <c r="G53" s="29" t="str">
        <f aca="false">IFERROR(F53/E53,"")</f>
        <v/>
      </c>
      <c r="H53" s="31"/>
      <c r="I53" s="17"/>
      <c r="J53" s="17"/>
    </row>
    <row r="54" customFormat="false" ht="15" hidden="false" customHeight="false" outlineLevel="0" collapsed="false">
      <c r="A54" s="17"/>
      <c r="B54" s="17"/>
      <c r="C54" s="17"/>
      <c r="D54" s="17"/>
      <c r="E54" s="17"/>
      <c r="F54" s="17"/>
      <c r="G54" s="29" t="str">
        <f aca="false">IFERROR(F54/E54,"")</f>
        <v/>
      </c>
      <c r="H54" s="31"/>
      <c r="I54" s="17"/>
      <c r="J54" s="17"/>
    </row>
    <row r="55" customFormat="false" ht="15" hidden="false" customHeight="false" outlineLevel="0" collapsed="false">
      <c r="A55" s="17"/>
      <c r="B55" s="17"/>
      <c r="C55" s="17"/>
      <c r="D55" s="17"/>
      <c r="E55" s="17"/>
      <c r="F55" s="17"/>
      <c r="G55" s="29" t="str">
        <f aca="false">IFERROR(F55/E55,"")</f>
        <v/>
      </c>
      <c r="H55" s="31"/>
      <c r="I55" s="17"/>
      <c r="J55" s="17"/>
    </row>
    <row r="56" customFormat="false" ht="15" hidden="false" customHeight="false" outlineLevel="0" collapsed="false">
      <c r="A56" s="17"/>
      <c r="B56" s="17"/>
      <c r="C56" s="17"/>
      <c r="D56" s="17"/>
      <c r="E56" s="17"/>
      <c r="F56" s="17"/>
      <c r="G56" s="29" t="str">
        <f aca="false">IFERROR(F56/E56,"")</f>
        <v/>
      </c>
      <c r="H56" s="31"/>
      <c r="I56" s="17"/>
      <c r="J56" s="17"/>
    </row>
    <row r="57" customFormat="false" ht="15" hidden="false" customHeight="false" outlineLevel="0" collapsed="false">
      <c r="A57" s="17"/>
      <c r="B57" s="17"/>
      <c r="C57" s="17"/>
      <c r="D57" s="17"/>
      <c r="E57" s="17"/>
      <c r="F57" s="17"/>
      <c r="G57" s="29" t="str">
        <f aca="false">IFERROR(F57/E57,"")</f>
        <v/>
      </c>
      <c r="H57" s="31"/>
      <c r="I57" s="17"/>
      <c r="J57" s="17"/>
    </row>
    <row r="58" customFormat="false" ht="15" hidden="false" customHeight="false" outlineLevel="0" collapsed="false">
      <c r="A58" s="17"/>
      <c r="B58" s="17"/>
      <c r="C58" s="17"/>
      <c r="D58" s="17"/>
      <c r="E58" s="17"/>
      <c r="F58" s="17"/>
      <c r="G58" s="29" t="str">
        <f aca="false">IFERROR(F58/E58,"")</f>
        <v/>
      </c>
      <c r="H58" s="31"/>
      <c r="I58" s="17"/>
      <c r="J58" s="17"/>
    </row>
    <row r="59" customFormat="false" ht="15" hidden="false" customHeight="false" outlineLevel="0" collapsed="false">
      <c r="A59" s="17"/>
      <c r="B59" s="17"/>
      <c r="C59" s="17"/>
      <c r="D59" s="17"/>
      <c r="E59" s="17"/>
      <c r="F59" s="17"/>
      <c r="G59" s="29" t="str">
        <f aca="false">IFERROR(F59/E59,"")</f>
        <v/>
      </c>
      <c r="H59" s="31"/>
      <c r="I59" s="17"/>
      <c r="J59" s="17"/>
    </row>
    <row r="60" customFormat="false" ht="15" hidden="false" customHeight="false" outlineLevel="0" collapsed="false">
      <c r="A60" s="17"/>
      <c r="B60" s="17"/>
      <c r="C60" s="17"/>
      <c r="D60" s="17"/>
      <c r="E60" s="17"/>
      <c r="F60" s="17"/>
      <c r="G60" s="29" t="str">
        <f aca="false">IFERROR(F60/E60,"")</f>
        <v/>
      </c>
      <c r="H60" s="31"/>
      <c r="I60" s="17"/>
      <c r="J60" s="17"/>
    </row>
    <row r="61" customFormat="false" ht="15" hidden="false" customHeight="false" outlineLevel="0" collapsed="false">
      <c r="A61" s="17"/>
      <c r="B61" s="17"/>
      <c r="C61" s="17"/>
      <c r="D61" s="17"/>
      <c r="E61" s="17"/>
      <c r="F61" s="17"/>
      <c r="G61" s="29" t="str">
        <f aca="false">IFERROR(F61/E61,"")</f>
        <v/>
      </c>
      <c r="H61" s="31"/>
      <c r="I61" s="17"/>
      <c r="J61" s="17"/>
    </row>
    <row r="62" customFormat="false" ht="15" hidden="false" customHeight="false" outlineLevel="0" collapsed="false">
      <c r="A62" s="17"/>
      <c r="B62" s="17"/>
      <c r="C62" s="17"/>
      <c r="D62" s="17"/>
      <c r="E62" s="17"/>
      <c r="F62" s="17"/>
      <c r="G62" s="29" t="str">
        <f aca="false">IFERROR(F62/E62,"")</f>
        <v/>
      </c>
      <c r="H62" s="31"/>
      <c r="I62" s="17"/>
      <c r="J62" s="17"/>
    </row>
    <row r="63" customFormat="false" ht="15" hidden="false" customHeight="false" outlineLevel="0" collapsed="false">
      <c r="A63" s="17"/>
      <c r="B63" s="17"/>
      <c r="C63" s="17"/>
      <c r="D63" s="17"/>
      <c r="E63" s="17"/>
      <c r="F63" s="17"/>
      <c r="G63" s="29" t="str">
        <f aca="false">IFERROR(F63/E63,"")</f>
        <v/>
      </c>
      <c r="H63" s="31"/>
      <c r="I63" s="17"/>
      <c r="J63" s="17"/>
    </row>
    <row r="64" customFormat="false" ht="15" hidden="false" customHeight="false" outlineLevel="0" collapsed="false">
      <c r="A64" s="17"/>
      <c r="B64" s="17"/>
      <c r="C64" s="17"/>
      <c r="D64" s="17"/>
      <c r="E64" s="17"/>
      <c r="F64" s="17"/>
      <c r="G64" s="29" t="str">
        <f aca="false">IFERROR(F64/E64,"")</f>
        <v/>
      </c>
      <c r="H64" s="31"/>
      <c r="I64" s="17"/>
      <c r="J64" s="17"/>
    </row>
    <row r="65" customFormat="false" ht="15" hidden="false" customHeight="false" outlineLevel="0" collapsed="false">
      <c r="A65" s="17"/>
      <c r="B65" s="17"/>
      <c r="C65" s="17"/>
      <c r="D65" s="17"/>
      <c r="E65" s="17"/>
      <c r="F65" s="17"/>
      <c r="G65" s="29" t="str">
        <f aca="false">IFERROR(F65/E65,"")</f>
        <v/>
      </c>
      <c r="H65" s="31"/>
      <c r="I65" s="17"/>
      <c r="J65" s="17"/>
    </row>
    <row r="66" customFormat="false" ht="15" hidden="false" customHeight="false" outlineLevel="0" collapsed="false">
      <c r="A66" s="17"/>
      <c r="B66" s="17"/>
      <c r="C66" s="17"/>
      <c r="D66" s="17"/>
      <c r="E66" s="17"/>
      <c r="F66" s="17"/>
      <c r="G66" s="29" t="str">
        <f aca="false">IFERROR(F66/E66,"")</f>
        <v/>
      </c>
      <c r="H66" s="31"/>
      <c r="I66" s="17"/>
      <c r="J66" s="17"/>
    </row>
    <row r="67" customFormat="false" ht="15" hidden="false" customHeight="false" outlineLevel="0" collapsed="false">
      <c r="A67" s="17"/>
      <c r="B67" s="17"/>
      <c r="C67" s="17"/>
      <c r="D67" s="17"/>
      <c r="E67" s="17"/>
      <c r="F67" s="17"/>
      <c r="G67" s="29" t="str">
        <f aca="false">IFERROR(F67/E67,"")</f>
        <v/>
      </c>
      <c r="H67" s="31"/>
      <c r="I67" s="17"/>
      <c r="J67" s="17"/>
    </row>
    <row r="68" customFormat="false" ht="15" hidden="false" customHeight="false" outlineLevel="0" collapsed="false">
      <c r="A68" s="17"/>
      <c r="B68" s="17"/>
      <c r="C68" s="17"/>
      <c r="D68" s="17"/>
      <c r="E68" s="17"/>
      <c r="F68" s="17"/>
      <c r="G68" s="29" t="str">
        <f aca="false">IFERROR(F68/E68,"")</f>
        <v/>
      </c>
      <c r="H68" s="31"/>
      <c r="I68" s="17"/>
      <c r="J68" s="17"/>
    </row>
    <row r="69" customFormat="false" ht="15" hidden="false" customHeight="false" outlineLevel="0" collapsed="false">
      <c r="A69" s="17"/>
      <c r="B69" s="17"/>
      <c r="C69" s="17"/>
      <c r="D69" s="17"/>
      <c r="E69" s="17"/>
      <c r="F69" s="17"/>
      <c r="G69" s="29" t="str">
        <f aca="false">IFERROR(F69/E69,"")</f>
        <v/>
      </c>
      <c r="H69" s="31"/>
      <c r="I69" s="17"/>
      <c r="J69" s="17"/>
    </row>
    <row r="72" customFormat="false" ht="15" hidden="false" customHeight="false" outlineLevel="0" collapsed="false">
      <c r="A72" s="15" t="s">
        <v>433</v>
      </c>
      <c r="B72" s="15" t="n">
        <f aca="false">SUM(B4:B70)</f>
        <v>34</v>
      </c>
    </row>
    <row r="73" customFormat="false" ht="15" hidden="false" customHeight="false" outlineLevel="0" collapsed="false">
      <c r="A73" s="15" t="s">
        <v>25</v>
      </c>
      <c r="B73" s="26" t="n">
        <f aca="false">IFERROR(SUM(C4:C70)/SUM(B4:B70),0)</f>
        <v>0.529411764705882</v>
      </c>
    </row>
    <row r="74" customFormat="false" ht="15" hidden="false" customHeight="false" outlineLevel="0" collapsed="false">
      <c r="A74" s="15" t="s">
        <v>434</v>
      </c>
      <c r="B74" s="32" t="n">
        <f aca="false">SUM(H4:H70)</f>
        <v>-12500</v>
      </c>
    </row>
    <row r="75" customFormat="false" ht="15" hidden="false" customHeight="false" outlineLevel="0" collapsed="false">
      <c r="A75" s="15" t="s">
        <v>435</v>
      </c>
      <c r="B75" s="33" t="n">
        <f aca="false">IFERROR(AVERAGE(F4:F70),0)</f>
        <v>3.4</v>
      </c>
    </row>
    <row r="77" customFormat="false" ht="15" hidden="false" customHeight="false" outlineLevel="0" collapsed="false">
      <c r="A77" s="2" t="s">
        <v>436</v>
      </c>
    </row>
    <row r="78" customFormat="false" ht="15" hidden="false" customHeight="false" outlineLevel="0" collapsed="false">
      <c r="A78" s="2" t="s">
        <v>437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52"/>
    <col collapsed="false" customWidth="true" hidden="false" outlineLevel="0" max="4" min="4" style="0" width="40"/>
    <col collapsed="false" customWidth="true" hidden="false" outlineLevel="0" max="5" min="5" style="0" width="20"/>
  </cols>
  <sheetData>
    <row r="1" customFormat="false" ht="21.75" hidden="false" customHeight="true" outlineLevel="0" collapsed="false">
      <c r="A1" s="1" t="s">
        <v>438</v>
      </c>
    </row>
    <row r="2" customFormat="false" ht="13.5" hidden="false" customHeight="true" outlineLevel="0" collapsed="false">
      <c r="A2" s="2" t="s">
        <v>439</v>
      </c>
    </row>
    <row r="3" customFormat="false" ht="30" hidden="false" customHeight="true" outlineLevel="0" collapsed="false">
      <c r="A3" s="3" t="s">
        <v>421</v>
      </c>
      <c r="B3" s="3" t="s">
        <v>440</v>
      </c>
      <c r="C3" s="3" t="s">
        <v>441</v>
      </c>
      <c r="D3" s="3" t="s">
        <v>442</v>
      </c>
      <c r="E3" s="3" t="s">
        <v>443</v>
      </c>
    </row>
    <row r="4" customFormat="false" ht="43.5" hidden="false" customHeight="true" outlineLevel="0" collapsed="false">
      <c r="A4" s="17"/>
      <c r="B4" s="6" t="s">
        <v>444</v>
      </c>
      <c r="C4" s="14" t="s">
        <v>445</v>
      </c>
      <c r="D4" s="14" t="s">
        <v>446</v>
      </c>
      <c r="E4" s="14" t="s">
        <v>447</v>
      </c>
    </row>
    <row r="5" customFormat="false" ht="43.5" hidden="false" customHeight="true" outlineLevel="0" collapsed="false">
      <c r="A5" s="17"/>
      <c r="B5" s="6" t="s">
        <v>448</v>
      </c>
      <c r="C5" s="14" t="s">
        <v>449</v>
      </c>
      <c r="D5" s="14" t="s">
        <v>450</v>
      </c>
      <c r="E5" s="14" t="s">
        <v>451</v>
      </c>
    </row>
    <row r="6" customFormat="false" ht="43.5" hidden="false" customHeight="true" outlineLevel="0" collapsed="false">
      <c r="A6" s="17"/>
      <c r="B6" s="6" t="s">
        <v>452</v>
      </c>
      <c r="C6" s="14" t="s">
        <v>453</v>
      </c>
      <c r="D6" s="14" t="s">
        <v>454</v>
      </c>
      <c r="E6" s="14" t="s">
        <v>455</v>
      </c>
    </row>
    <row r="7" customFormat="false" ht="43.5" hidden="false" customHeight="true" outlineLevel="0" collapsed="false">
      <c r="A7" s="17"/>
      <c r="B7" s="6" t="s">
        <v>456</v>
      </c>
      <c r="C7" s="14" t="s">
        <v>457</v>
      </c>
      <c r="D7" s="14" t="s">
        <v>458</v>
      </c>
      <c r="E7" s="14" t="s">
        <v>459</v>
      </c>
    </row>
    <row r="8" customFormat="false" ht="43.5" hidden="false" customHeight="true" outlineLevel="0" collapsed="false">
      <c r="A8" s="17"/>
      <c r="B8" s="6" t="s">
        <v>460</v>
      </c>
      <c r="C8" s="14" t="s">
        <v>461</v>
      </c>
      <c r="D8" s="14" t="s">
        <v>462</v>
      </c>
      <c r="E8" s="14" t="s">
        <v>447</v>
      </c>
    </row>
    <row r="9" customFormat="false" ht="43.5" hidden="false" customHeight="true" outlineLevel="0" collapsed="false">
      <c r="A9" s="17"/>
      <c r="B9" s="6" t="s">
        <v>463</v>
      </c>
      <c r="C9" s="14" t="s">
        <v>464</v>
      </c>
      <c r="D9" s="14" t="s">
        <v>465</v>
      </c>
      <c r="E9" s="14" t="s">
        <v>451</v>
      </c>
    </row>
    <row r="10" customFormat="false" ht="43.5" hidden="false" customHeight="true" outlineLevel="0" collapsed="false">
      <c r="A10" s="17"/>
      <c r="B10" s="6" t="s">
        <v>466</v>
      </c>
      <c r="C10" s="14" t="s">
        <v>467</v>
      </c>
      <c r="D10" s="14"/>
      <c r="E10" s="14" t="s">
        <v>468</v>
      </c>
    </row>
    <row r="11" customFormat="false" ht="15" hidden="false" customHeight="false" outlineLevel="0" collapsed="false">
      <c r="A11" s="17"/>
      <c r="B11" s="17"/>
      <c r="C11" s="17"/>
      <c r="D11" s="17"/>
      <c r="E11" s="17"/>
    </row>
    <row r="12" customFormat="false" ht="15" hidden="false" customHeight="false" outlineLevel="0" collapsed="false">
      <c r="A12" s="17"/>
      <c r="B12" s="17"/>
      <c r="C12" s="17"/>
      <c r="D12" s="17"/>
      <c r="E12" s="17"/>
    </row>
    <row r="13" customFormat="false" ht="15" hidden="false" customHeight="false" outlineLevel="0" collapsed="false">
      <c r="A13" s="17"/>
      <c r="B13" s="17"/>
      <c r="C13" s="17"/>
      <c r="D13" s="17"/>
      <c r="E13" s="17"/>
    </row>
    <row r="14" customFormat="false" ht="15" hidden="false" customHeight="false" outlineLevel="0" collapsed="false">
      <c r="A14" s="17"/>
      <c r="B14" s="17"/>
      <c r="C14" s="17"/>
      <c r="D14" s="17"/>
      <c r="E14" s="17"/>
    </row>
    <row r="15" customFormat="false" ht="15" hidden="false" customHeight="false" outlineLevel="0" collapsed="false">
      <c r="A15" s="17"/>
      <c r="B15" s="17"/>
      <c r="C15" s="17"/>
      <c r="D15" s="17"/>
      <c r="E15" s="17"/>
    </row>
    <row r="16" customFormat="false" ht="15" hidden="false" customHeight="false" outlineLevel="0" collapsed="false">
      <c r="A16" s="17"/>
      <c r="B16" s="17"/>
      <c r="C16" s="17"/>
      <c r="D16" s="17"/>
      <c r="E16" s="17"/>
    </row>
    <row r="17" customFormat="false" ht="15" hidden="false" customHeight="false" outlineLevel="0" collapsed="false">
      <c r="A17" s="17"/>
      <c r="B17" s="17"/>
      <c r="C17" s="17"/>
      <c r="D17" s="17"/>
      <c r="E17" s="17"/>
    </row>
    <row r="18" customFormat="false" ht="15" hidden="false" customHeight="false" outlineLevel="0" collapsed="false">
      <c r="A18" s="17"/>
      <c r="B18" s="17"/>
      <c r="C18" s="17"/>
      <c r="D18" s="17"/>
      <c r="E18" s="17"/>
    </row>
    <row r="19" customFormat="false" ht="15" hidden="false" customHeight="false" outlineLevel="0" collapsed="false">
      <c r="A19" s="17"/>
      <c r="B19" s="17"/>
      <c r="C19" s="17"/>
      <c r="D19" s="17"/>
      <c r="E19" s="17"/>
    </row>
    <row r="20" customFormat="false" ht="15" hidden="false" customHeight="false" outlineLevel="0" collapsed="false">
      <c r="A20" s="17"/>
      <c r="B20" s="17"/>
      <c r="C20" s="17"/>
      <c r="D20" s="17"/>
      <c r="E20" s="17"/>
    </row>
    <row r="21" customFormat="false" ht="15" hidden="false" customHeight="false" outlineLevel="0" collapsed="false">
      <c r="A21" s="17"/>
      <c r="B21" s="17"/>
      <c r="C21" s="17"/>
      <c r="D21" s="17"/>
      <c r="E21" s="17"/>
    </row>
    <row r="22" customFormat="false" ht="15" hidden="false" customHeight="false" outlineLevel="0" collapsed="false">
      <c r="A22" s="17"/>
      <c r="B22" s="17"/>
      <c r="C22" s="17"/>
      <c r="D22" s="17"/>
      <c r="E22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4"/>
    <col collapsed="false" customWidth="true" hidden="false" outlineLevel="0" max="4" min="3" style="0" width="10"/>
    <col collapsed="false" customWidth="true" hidden="false" outlineLevel="0" max="5" min="5" style="0" width="9"/>
    <col collapsed="false" customWidth="true" hidden="false" outlineLevel="0" max="6" min="6" style="0" width="56"/>
    <col collapsed="false" customWidth="true" hidden="false" outlineLevel="0" max="7" min="7" style="0" width="11"/>
  </cols>
  <sheetData>
    <row r="1" customFormat="false" ht="21.75" hidden="false" customHeight="true" outlineLevel="0" collapsed="false">
      <c r="A1" s="1" t="s">
        <v>469</v>
      </c>
    </row>
    <row r="2" customFormat="false" ht="13.5" hidden="false" customHeight="true" outlineLevel="0" collapsed="false">
      <c r="A2" s="2" t="s">
        <v>470</v>
      </c>
    </row>
    <row r="3" customFormat="false" ht="30" hidden="false" customHeight="true" outlineLevel="0" collapsed="false">
      <c r="A3" s="3" t="s">
        <v>365</v>
      </c>
      <c r="B3" s="3" t="s">
        <v>471</v>
      </c>
      <c r="C3" s="3" t="s">
        <v>472</v>
      </c>
      <c r="D3" s="3" t="s">
        <v>473</v>
      </c>
      <c r="E3" s="3" t="s">
        <v>474</v>
      </c>
      <c r="F3" s="3" t="s">
        <v>475</v>
      </c>
      <c r="G3" s="3" t="s">
        <v>131</v>
      </c>
    </row>
    <row r="4" customFormat="false" ht="31.5" hidden="false" customHeight="true" outlineLevel="0" collapsed="false">
      <c r="A4" s="7" t="s">
        <v>476</v>
      </c>
      <c r="B4" s="14" t="s">
        <v>477</v>
      </c>
      <c r="C4" s="8" t="n">
        <v>5</v>
      </c>
      <c r="D4" s="8" t="n">
        <v>4</v>
      </c>
      <c r="E4" s="7" t="n">
        <f aca="false">C4*D4</f>
        <v>20</v>
      </c>
      <c r="F4" s="14" t="s">
        <v>478</v>
      </c>
      <c r="G4" s="17" t="s">
        <v>479</v>
      </c>
    </row>
    <row r="5" customFormat="false" ht="31.5" hidden="false" customHeight="true" outlineLevel="0" collapsed="false">
      <c r="A5" s="7" t="s">
        <v>480</v>
      </c>
      <c r="B5" s="14" t="s">
        <v>481</v>
      </c>
      <c r="C5" s="8" t="n">
        <v>5</v>
      </c>
      <c r="D5" s="8" t="n">
        <v>3</v>
      </c>
      <c r="E5" s="7" t="n">
        <f aca="false">C5*D5</f>
        <v>15</v>
      </c>
      <c r="F5" s="14" t="s">
        <v>482</v>
      </c>
      <c r="G5" s="17" t="s">
        <v>479</v>
      </c>
    </row>
    <row r="6" customFormat="false" ht="31.5" hidden="false" customHeight="true" outlineLevel="0" collapsed="false">
      <c r="A6" s="7" t="s">
        <v>483</v>
      </c>
      <c r="B6" s="14" t="s">
        <v>484</v>
      </c>
      <c r="C6" s="8" t="n">
        <v>5</v>
      </c>
      <c r="D6" s="8" t="n">
        <v>4</v>
      </c>
      <c r="E6" s="7" t="n">
        <f aca="false">C6*D6</f>
        <v>20</v>
      </c>
      <c r="F6" s="14" t="s">
        <v>485</v>
      </c>
      <c r="G6" s="17" t="s">
        <v>479</v>
      </c>
    </row>
    <row r="7" customFormat="false" ht="31.5" hidden="false" customHeight="true" outlineLevel="0" collapsed="false">
      <c r="A7" s="7" t="s">
        <v>486</v>
      </c>
      <c r="B7" s="14" t="s">
        <v>487</v>
      </c>
      <c r="C7" s="8" t="n">
        <v>5</v>
      </c>
      <c r="D7" s="8" t="n">
        <v>3</v>
      </c>
      <c r="E7" s="7" t="n">
        <f aca="false">C7*D7</f>
        <v>15</v>
      </c>
      <c r="F7" s="14" t="s">
        <v>488</v>
      </c>
      <c r="G7" s="17" t="s">
        <v>479</v>
      </c>
    </row>
    <row r="8" customFormat="false" ht="31.5" hidden="false" customHeight="true" outlineLevel="0" collapsed="false">
      <c r="A8" s="7" t="s">
        <v>489</v>
      </c>
      <c r="B8" s="14" t="s">
        <v>490</v>
      </c>
      <c r="C8" s="8" t="n">
        <v>4</v>
      </c>
      <c r="D8" s="8" t="n">
        <v>4</v>
      </c>
      <c r="E8" s="7" t="n">
        <f aca="false">C8*D8</f>
        <v>16</v>
      </c>
      <c r="F8" s="14" t="s">
        <v>491</v>
      </c>
      <c r="G8" s="17" t="s">
        <v>479</v>
      </c>
    </row>
    <row r="9" customFormat="false" ht="31.5" hidden="false" customHeight="true" outlineLevel="0" collapsed="false">
      <c r="A9" s="7" t="s">
        <v>492</v>
      </c>
      <c r="B9" s="14" t="s">
        <v>493</v>
      </c>
      <c r="C9" s="8" t="n">
        <v>4</v>
      </c>
      <c r="D9" s="8" t="n">
        <v>3</v>
      </c>
      <c r="E9" s="7" t="n">
        <f aca="false">C9*D9</f>
        <v>12</v>
      </c>
      <c r="F9" s="14" t="s">
        <v>494</v>
      </c>
      <c r="G9" s="17" t="s">
        <v>479</v>
      </c>
    </row>
    <row r="10" customFormat="false" ht="31.5" hidden="false" customHeight="true" outlineLevel="0" collapsed="false">
      <c r="A10" s="7" t="s">
        <v>495</v>
      </c>
      <c r="B10" s="14" t="s">
        <v>496</v>
      </c>
      <c r="C10" s="8" t="n">
        <v>5</v>
      </c>
      <c r="D10" s="8" t="n">
        <v>2</v>
      </c>
      <c r="E10" s="7" t="n">
        <f aca="false">C10*D10</f>
        <v>10</v>
      </c>
      <c r="F10" s="14" t="s">
        <v>497</v>
      </c>
      <c r="G10" s="17" t="s">
        <v>479</v>
      </c>
    </row>
    <row r="11" customFormat="false" ht="31.5" hidden="false" customHeight="true" outlineLevel="0" collapsed="false">
      <c r="A11" s="7" t="s">
        <v>498</v>
      </c>
      <c r="B11" s="14" t="s">
        <v>499</v>
      </c>
      <c r="C11" s="8" t="n">
        <v>3</v>
      </c>
      <c r="D11" s="8" t="n">
        <v>4</v>
      </c>
      <c r="E11" s="7" t="n">
        <f aca="false">C11*D11</f>
        <v>12</v>
      </c>
      <c r="F11" s="14" t="s">
        <v>500</v>
      </c>
      <c r="G11" s="17" t="s">
        <v>501</v>
      </c>
    </row>
    <row r="12" customFormat="false" ht="31.5" hidden="false" customHeight="true" outlineLevel="0" collapsed="false">
      <c r="A12" s="7" t="s">
        <v>502</v>
      </c>
      <c r="B12" s="14" t="s">
        <v>503</v>
      </c>
      <c r="C12" s="8" t="n">
        <v>3</v>
      </c>
      <c r="D12" s="8" t="n">
        <v>3</v>
      </c>
      <c r="E12" s="7" t="n">
        <f aca="false">C12*D12</f>
        <v>9</v>
      </c>
      <c r="F12" s="14" t="s">
        <v>504</v>
      </c>
      <c r="G12" s="17" t="s">
        <v>505</v>
      </c>
    </row>
    <row r="13" customFormat="false" ht="31.5" hidden="false" customHeight="true" outlineLevel="0" collapsed="false">
      <c r="A13" s="7" t="s">
        <v>506</v>
      </c>
      <c r="B13" s="14" t="s">
        <v>507</v>
      </c>
      <c r="C13" s="8" t="n">
        <v>4</v>
      </c>
      <c r="D13" s="8" t="n">
        <v>2</v>
      </c>
      <c r="E13" s="7" t="n">
        <f aca="false">C13*D13</f>
        <v>8</v>
      </c>
      <c r="F13" s="14" t="s">
        <v>508</v>
      </c>
      <c r="G13" s="17" t="s">
        <v>479</v>
      </c>
    </row>
    <row r="14" customFormat="false" ht="31.5" hidden="false" customHeight="true" outlineLevel="0" collapsed="false">
      <c r="A14" s="7" t="s">
        <v>509</v>
      </c>
      <c r="B14" s="14" t="s">
        <v>510</v>
      </c>
      <c r="C14" s="8" t="n">
        <v>3</v>
      </c>
      <c r="D14" s="8" t="n">
        <v>3</v>
      </c>
      <c r="E14" s="7" t="n">
        <f aca="false">C14*D14</f>
        <v>9</v>
      </c>
      <c r="F14" s="14" t="s">
        <v>511</v>
      </c>
      <c r="G14" s="17" t="s">
        <v>479</v>
      </c>
    </row>
  </sheetData>
  <dataValidations count="1">
    <dataValidation allowBlank="true" errorStyle="stop" operator="between" showDropDown="false" showErrorMessage="false" showInputMessage="false" sqref="G4:G14" type="list">
      <formula1>"Aktif,Diterima,Terbuka,Tertutup"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2026-09-09T16:01:54Z</dcterms:created>
  <dc:creator>openpyxl</dc:creator>
  <dc:description/>
  <dc:language>en-US</dc:language>
  <cp:lastModifiedBy/>
  <dcterms:modified xsi:type="dcterms:W3CDTF">2026-09-09T16:01:54Z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